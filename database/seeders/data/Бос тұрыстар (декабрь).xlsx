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ii\OneDrive\Desktop\OMSLIFE ОзенМунайСервис\Ремонкт скважин план факт унв\"/>
    </mc:Choice>
  </mc:AlternateContent>
  <xr:revisionPtr revIDLastSave="0" documentId="13_ncr:1_{982440E4-03C8-4B3F-9FF2-A91FE076BF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2" sheetId="32" r:id="rId1"/>
  </sheets>
  <definedNames>
    <definedName name="_xlnm.Print_Area" localSheetId="0">'12'!$A$1:$I$54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2" l="1"/>
  <c r="I5" i="32"/>
  <c r="I9" i="32"/>
  <c r="I11" i="32"/>
  <c r="I13" i="32"/>
  <c r="I15" i="32"/>
  <c r="I17" i="32"/>
  <c r="I19" i="32"/>
  <c r="I21" i="32"/>
  <c r="I23" i="32"/>
  <c r="I24" i="32"/>
  <c r="I27" i="32"/>
  <c r="I28" i="32"/>
  <c r="I29" i="32"/>
  <c r="I31" i="32"/>
  <c r="I33" i="32"/>
  <c r="I36" i="32"/>
  <c r="I37" i="32"/>
  <c r="I39" i="32"/>
  <c r="I40" i="32"/>
  <c r="I41" i="32"/>
  <c r="I44" i="32"/>
  <c r="I45" i="32"/>
  <c r="I47" i="32"/>
  <c r="I49" i="32"/>
  <c r="I51" i="32"/>
  <c r="G52" i="32"/>
  <c r="G42" i="32"/>
  <c r="G32" i="32"/>
  <c r="G22" i="32"/>
  <c r="G12" i="32"/>
  <c r="F52" i="32"/>
  <c r="F42" i="32"/>
  <c r="F32" i="32"/>
  <c r="F22" i="32"/>
  <c r="F12" i="32"/>
  <c r="E52" i="32"/>
  <c r="E42" i="32"/>
  <c r="E32" i="32"/>
  <c r="E22" i="32"/>
  <c r="E12" i="32"/>
  <c r="I6" i="32"/>
  <c r="I7" i="32"/>
  <c r="I8" i="32"/>
  <c r="I10" i="32"/>
  <c r="I14" i="32"/>
  <c r="I16" i="32"/>
  <c r="I18" i="32"/>
  <c r="I20" i="32"/>
  <c r="I25" i="32"/>
  <c r="I26" i="32"/>
  <c r="I30" i="32"/>
  <c r="I34" i="32"/>
  <c r="I35" i="32"/>
  <c r="I38" i="32"/>
  <c r="I43" i="32"/>
  <c r="I46" i="32"/>
  <c r="I48" i="32"/>
  <c r="I50" i="32"/>
  <c r="D52" i="32"/>
  <c r="D42" i="32"/>
  <c r="D32" i="32"/>
  <c r="D22" i="32"/>
  <c r="D12" i="32"/>
  <c r="G53" i="32" l="1"/>
  <c r="F53" i="32"/>
  <c r="E53" i="32"/>
  <c r="D53" i="32"/>
  <c r="I22" i="32" l="1"/>
  <c r="I12" i="32"/>
  <c r="I52" i="32"/>
  <c r="I32" i="32"/>
  <c r="I42" i="32"/>
  <c r="I53" i="32" l="1"/>
  <c r="I3" i="32"/>
</calcChain>
</file>

<file path=xl/sharedStrings.xml><?xml version="1.0" encoding="utf-8"?>
<sst xmlns="http://schemas.openxmlformats.org/spreadsheetml/2006/main" count="106" uniqueCount="106">
  <si>
    <t>Барлығы</t>
  </si>
  <si>
    <t>5 цех бойынша</t>
  </si>
  <si>
    <t>К. Төлепов</t>
  </si>
  <si>
    <t>ОМС-36</t>
  </si>
  <si>
    <t>О. Жанатаев</t>
  </si>
  <si>
    <t>ОМС-35</t>
  </si>
  <si>
    <t>Б. Нұрбергенов</t>
  </si>
  <si>
    <t>ОМС-34</t>
  </si>
  <si>
    <t>ОМС-33</t>
  </si>
  <si>
    <t>Е. Бажиков</t>
  </si>
  <si>
    <t>ОМС-32</t>
  </si>
  <si>
    <t>Е. Өсербаев</t>
  </si>
  <si>
    <t>ОМС-31</t>
  </si>
  <si>
    <t>ОМС-12</t>
  </si>
  <si>
    <t>ОМС-11</t>
  </si>
  <si>
    <t>Х. Сағиев</t>
  </si>
  <si>
    <t>ОМС-10</t>
  </si>
  <si>
    <t>4 цех бойынша</t>
  </si>
  <si>
    <t>Ж. Ақжігітов</t>
  </si>
  <si>
    <t>ОМС-45</t>
  </si>
  <si>
    <t>А. Утебергенов</t>
  </si>
  <si>
    <t>ОМС-44</t>
  </si>
  <si>
    <t>Е. Конхиев</t>
  </si>
  <si>
    <t>ОМС-43</t>
  </si>
  <si>
    <t>Қ. Рыскелдиев</t>
  </si>
  <si>
    <t>ОМС-42</t>
  </si>
  <si>
    <t>Е. Құлқаев</t>
  </si>
  <si>
    <t>ОМС-41</t>
  </si>
  <si>
    <t>С. Зейін</t>
  </si>
  <si>
    <t>ОМС-40</t>
  </si>
  <si>
    <t>Ходжа-Ахмет</t>
  </si>
  <si>
    <t>ОМС-39</t>
  </si>
  <si>
    <t>ОМС-38</t>
  </si>
  <si>
    <t>А. Нұржаубаев</t>
  </si>
  <si>
    <t>ОМС-37</t>
  </si>
  <si>
    <t>3 цех бойынша</t>
  </si>
  <si>
    <t>Д. Джоламанов</t>
  </si>
  <si>
    <t>ОМС-30</t>
  </si>
  <si>
    <t>Ә. Батышов</t>
  </si>
  <si>
    <t>ОМС-29</t>
  </si>
  <si>
    <t>Ғ. Конкиев</t>
  </si>
  <si>
    <t>ОМС-28</t>
  </si>
  <si>
    <t>Е. Дауылбаев</t>
  </si>
  <si>
    <t>ОМС-27</t>
  </si>
  <si>
    <t>ОМС-26</t>
  </si>
  <si>
    <t>ОМС-25</t>
  </si>
  <si>
    <t>М. Ниетбаев</t>
  </si>
  <si>
    <t>ОМС-24</t>
  </si>
  <si>
    <t>Т. Бекжанов</t>
  </si>
  <si>
    <t>ОМС-23</t>
  </si>
  <si>
    <t>О. Сейдов</t>
  </si>
  <si>
    <t>ОМС-22</t>
  </si>
  <si>
    <t>2 цех бойынша</t>
  </si>
  <si>
    <t>Д. Хангереев</t>
  </si>
  <si>
    <t>ОМС-21</t>
  </si>
  <si>
    <t>ОМС-20</t>
  </si>
  <si>
    <t>П. Акимов</t>
  </si>
  <si>
    <t>ОМС-19</t>
  </si>
  <si>
    <t>С. Мурабеков</t>
  </si>
  <si>
    <t>ОМС-18</t>
  </si>
  <si>
    <t>Қ. Абылғазиев</t>
  </si>
  <si>
    <t>ОМС-17</t>
  </si>
  <si>
    <t>Н. Бисенов</t>
  </si>
  <si>
    <t>ОМС-16</t>
  </si>
  <si>
    <t>Н. Турумбаев</t>
  </si>
  <si>
    <t>ОМС-15</t>
  </si>
  <si>
    <t>Б. Қалавов</t>
  </si>
  <si>
    <t>ОМС-14</t>
  </si>
  <si>
    <t>Ғ. Құрашов</t>
  </si>
  <si>
    <t>ОМС-13</t>
  </si>
  <si>
    <t>1 цех бойынша</t>
  </si>
  <si>
    <t>М. Төлегенов</t>
  </si>
  <si>
    <t>ОМС-9</t>
  </si>
  <si>
    <t>Ж. Оразалиев</t>
  </si>
  <si>
    <t>ОМС-8</t>
  </si>
  <si>
    <t>ОМС-7</t>
  </si>
  <si>
    <t>ОМС-6</t>
  </si>
  <si>
    <t>ОМС-5</t>
  </si>
  <si>
    <t>А. Жұмалиев</t>
  </si>
  <si>
    <t>ОМС-4</t>
  </si>
  <si>
    <t>ОМС-3</t>
  </si>
  <si>
    <t>М. Мыңбаев</t>
  </si>
  <si>
    <t>ОМС-2</t>
  </si>
  <si>
    <t>Б. Изимбергенов</t>
  </si>
  <si>
    <t>ОМС-1</t>
  </si>
  <si>
    <t>Метеоусловия</t>
  </si>
  <si>
    <t>Д. Абдуллаев</t>
  </si>
  <si>
    <t>Қ. Кулатаев</t>
  </si>
  <si>
    <t>Б. Айсабаев</t>
  </si>
  <si>
    <t>Н. Нурмуханов</t>
  </si>
  <si>
    <t>Ж. Бисенов</t>
  </si>
  <si>
    <t>Қ. Алтанов</t>
  </si>
  <si>
    <t>А. Дикаев</t>
  </si>
  <si>
    <t>И. Турганбаев</t>
  </si>
  <si>
    <t>Р. Баймағанбетов</t>
  </si>
  <si>
    <t>С. Ермағанбетов</t>
  </si>
  <si>
    <t>А. Баймағамбетов</t>
  </si>
  <si>
    <t>№</t>
  </si>
  <si>
    <t>№ БР</t>
  </si>
  <si>
    <t>Мастер</t>
  </si>
  <si>
    <t>Ремонт ПА</t>
  </si>
  <si>
    <t>Ожидание вахты</t>
  </si>
  <si>
    <t>Ожидание 
ЦА, АЦН</t>
  </si>
  <si>
    <t>Прочие</t>
  </si>
  <si>
    <t>Всего:</t>
  </si>
  <si>
    <t>Декабрь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</si>
</sst>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yr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0" fillId="2" borderId="5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8589-F098-46F5-80F8-2632DA699F40}">
  <sheetPr>
    <pageSetUpPr fitToPage="1"/>
  </sheetPr>
  <dimension ref="A1:L53"/>
  <sheetViews>
    <sheetView tabSelected="1" zoomScaleNormal="100" zoomScaleSheetLayoutView="115" workbookViewId="0">
      <pane ySplit="2" topLeftCell="A35" activePane="bottomLeft" state="frozen"/>
      <selection pane="bottomLeft" activeCell="F65" sqref="F65"/>
    </sheetView>
  </sheetViews>
  <sheetFormatPr defaultRowHeight="12.5" x14ac:dyDescent="0.25"/>
  <cols>
    <col min="1" max="1" width="4.1796875" customWidth="1"/>
    <col min="2" max="2" width="9.1796875" customWidth="1"/>
    <col min="3" max="3" width="14.54296875" customWidth="1"/>
    <col min="4" max="4" width="13" customWidth="1"/>
    <col min="5" max="5" width="12.453125" customWidth="1"/>
    <col min="6" max="6" width="14.1796875" customWidth="1"/>
    <col min="7" max="7" width="12.453125" customWidth="1"/>
    <col min="8" max="8" width="10.453125" customWidth="1"/>
    <col min="9" max="9" width="11.26953125" style="6" customWidth="1"/>
  </cols>
  <sheetData>
    <row r="1" spans="1:9" ht="17.25" customHeight="1" x14ac:dyDescent="0.25">
      <c r="A1" s="16" t="s">
        <v>105</v>
      </c>
      <c r="B1" s="16"/>
      <c r="C1" s="16"/>
      <c r="D1" s="16"/>
      <c r="E1" s="16"/>
      <c r="F1" s="16"/>
      <c r="G1" s="16"/>
      <c r="H1" s="16"/>
      <c r="I1" s="16"/>
    </row>
    <row r="2" spans="1:9" ht="51" customHeight="1" x14ac:dyDescent="0.25">
      <c r="A2" s="11" t="s">
        <v>97</v>
      </c>
      <c r="B2" s="11" t="s">
        <v>98</v>
      </c>
      <c r="C2" s="11" t="s">
        <v>99</v>
      </c>
      <c r="D2" s="13" t="s">
        <v>100</v>
      </c>
      <c r="E2" s="13" t="s">
        <v>101</v>
      </c>
      <c r="F2" s="13" t="s">
        <v>85</v>
      </c>
      <c r="G2" s="14" t="s">
        <v>102</v>
      </c>
      <c r="H2" s="13" t="s">
        <v>103</v>
      </c>
      <c r="I2" s="15" t="s">
        <v>104</v>
      </c>
    </row>
    <row r="3" spans="1:9" x14ac:dyDescent="0.25">
      <c r="A3" s="3">
        <v>1</v>
      </c>
      <c r="B3" s="3" t="s">
        <v>84</v>
      </c>
      <c r="C3" s="5" t="s">
        <v>83</v>
      </c>
      <c r="D3" s="3"/>
      <c r="E3" s="3"/>
      <c r="F3" s="3">
        <v>10</v>
      </c>
      <c r="G3" s="4">
        <v>2</v>
      </c>
      <c r="H3" s="4">
        <v>3</v>
      </c>
      <c r="I3" s="8">
        <f t="shared" ref="I3:I34" si="0">SUM(D3:H3)</f>
        <v>15</v>
      </c>
    </row>
    <row r="4" spans="1:9" x14ac:dyDescent="0.25">
      <c r="A4" s="3">
        <v>2</v>
      </c>
      <c r="B4" s="3" t="s">
        <v>82</v>
      </c>
      <c r="C4" s="5" t="s">
        <v>81</v>
      </c>
      <c r="D4" s="3">
        <v>10</v>
      </c>
      <c r="E4" s="3"/>
      <c r="F4" s="3">
        <v>7</v>
      </c>
      <c r="G4" s="4"/>
      <c r="H4" s="4">
        <v>2</v>
      </c>
      <c r="I4" s="8">
        <f t="shared" si="0"/>
        <v>19</v>
      </c>
    </row>
    <row r="5" spans="1:9" x14ac:dyDescent="0.25">
      <c r="A5" s="3">
        <v>5</v>
      </c>
      <c r="B5" s="3" t="s">
        <v>80</v>
      </c>
      <c r="C5" s="5" t="s">
        <v>2</v>
      </c>
      <c r="D5" s="3">
        <v>10</v>
      </c>
      <c r="E5" s="3"/>
      <c r="F5" s="3"/>
      <c r="G5" s="4"/>
      <c r="H5" s="4">
        <v>3</v>
      </c>
      <c r="I5" s="8">
        <f t="shared" si="0"/>
        <v>13</v>
      </c>
    </row>
    <row r="6" spans="1:9" x14ac:dyDescent="0.25">
      <c r="A6" s="3">
        <v>4</v>
      </c>
      <c r="B6" s="3" t="s">
        <v>79</v>
      </c>
      <c r="C6" s="5" t="s">
        <v>78</v>
      </c>
      <c r="D6" s="3"/>
      <c r="E6" s="3"/>
      <c r="F6" s="3"/>
      <c r="G6" s="4">
        <v>2</v>
      </c>
      <c r="H6" s="4">
        <v>0</v>
      </c>
      <c r="I6" s="8">
        <f t="shared" si="0"/>
        <v>2</v>
      </c>
    </row>
    <row r="7" spans="1:9" x14ac:dyDescent="0.25">
      <c r="A7" s="3">
        <v>5</v>
      </c>
      <c r="B7" s="3" t="s">
        <v>77</v>
      </c>
      <c r="C7" s="5" t="s">
        <v>95</v>
      </c>
      <c r="D7" s="3">
        <v>2</v>
      </c>
      <c r="E7" s="3"/>
      <c r="F7" s="3"/>
      <c r="G7" s="4"/>
      <c r="H7" s="4">
        <v>5</v>
      </c>
      <c r="I7" s="8">
        <f t="shared" si="0"/>
        <v>7</v>
      </c>
    </row>
    <row r="8" spans="1:9" x14ac:dyDescent="0.25">
      <c r="A8" s="3">
        <v>6</v>
      </c>
      <c r="B8" s="3" t="s">
        <v>76</v>
      </c>
      <c r="C8" s="5" t="s">
        <v>93</v>
      </c>
      <c r="D8" s="3">
        <v>4</v>
      </c>
      <c r="E8" s="3"/>
      <c r="F8" s="3">
        <v>18</v>
      </c>
      <c r="G8" s="4"/>
      <c r="H8" s="4">
        <v>0</v>
      </c>
      <c r="I8" s="8">
        <f t="shared" si="0"/>
        <v>22</v>
      </c>
    </row>
    <row r="9" spans="1:9" x14ac:dyDescent="0.25">
      <c r="A9" s="3">
        <v>7</v>
      </c>
      <c r="B9" s="3" t="s">
        <v>75</v>
      </c>
      <c r="C9" s="5" t="s">
        <v>96</v>
      </c>
      <c r="D9" s="3">
        <v>4</v>
      </c>
      <c r="E9" s="3"/>
      <c r="F9" s="3">
        <v>29</v>
      </c>
      <c r="G9" s="4"/>
      <c r="H9" s="4">
        <v>0</v>
      </c>
      <c r="I9" s="8">
        <f t="shared" si="0"/>
        <v>33</v>
      </c>
    </row>
    <row r="10" spans="1:9" x14ac:dyDescent="0.25">
      <c r="A10" s="3">
        <v>8</v>
      </c>
      <c r="B10" s="3" t="s">
        <v>74</v>
      </c>
      <c r="C10" s="5" t="s">
        <v>73</v>
      </c>
      <c r="D10" s="3"/>
      <c r="E10" s="3"/>
      <c r="F10" s="3">
        <v>3</v>
      </c>
      <c r="G10" s="4"/>
      <c r="H10" s="4">
        <v>9</v>
      </c>
      <c r="I10" s="8">
        <f t="shared" si="0"/>
        <v>12</v>
      </c>
    </row>
    <row r="11" spans="1:9" x14ac:dyDescent="0.25">
      <c r="A11" s="3">
        <v>9</v>
      </c>
      <c r="B11" s="3" t="s">
        <v>72</v>
      </c>
      <c r="C11" s="5" t="s">
        <v>71</v>
      </c>
      <c r="D11" s="3">
        <v>8</v>
      </c>
      <c r="E11" s="3"/>
      <c r="F11" s="3"/>
      <c r="G11" s="4"/>
      <c r="H11" s="4">
        <v>10</v>
      </c>
      <c r="I11" s="8">
        <f t="shared" si="0"/>
        <v>18</v>
      </c>
    </row>
    <row r="12" spans="1:9" x14ac:dyDescent="0.25">
      <c r="A12" s="17" t="s">
        <v>70</v>
      </c>
      <c r="B12" s="18"/>
      <c r="C12" s="19"/>
      <c r="D12" s="2">
        <f t="shared" ref="D12:G12" si="1">SUM(D3:D11)</f>
        <v>38</v>
      </c>
      <c r="E12" s="2">
        <f t="shared" si="1"/>
        <v>0</v>
      </c>
      <c r="F12" s="2">
        <f t="shared" si="1"/>
        <v>67</v>
      </c>
      <c r="G12" s="2">
        <f t="shared" si="1"/>
        <v>4</v>
      </c>
      <c r="H12" s="12">
        <v>32</v>
      </c>
      <c r="I12" s="1">
        <f t="shared" si="0"/>
        <v>141</v>
      </c>
    </row>
    <row r="13" spans="1:9" x14ac:dyDescent="0.25">
      <c r="A13" s="3">
        <v>10</v>
      </c>
      <c r="B13" s="3" t="s">
        <v>69</v>
      </c>
      <c r="C13" s="5" t="s">
        <v>68</v>
      </c>
      <c r="D13" s="3"/>
      <c r="E13" s="3"/>
      <c r="F13" s="3">
        <v>12</v>
      </c>
      <c r="G13" s="4">
        <v>4</v>
      </c>
      <c r="H13" s="4">
        <v>0</v>
      </c>
      <c r="I13" s="8">
        <f t="shared" si="0"/>
        <v>16</v>
      </c>
    </row>
    <row r="14" spans="1:9" x14ac:dyDescent="0.25">
      <c r="A14" s="3">
        <v>11</v>
      </c>
      <c r="B14" s="3" t="s">
        <v>67</v>
      </c>
      <c r="C14" s="5" t="s">
        <v>66</v>
      </c>
      <c r="D14" s="3">
        <v>18</v>
      </c>
      <c r="E14" s="3"/>
      <c r="F14" s="3"/>
      <c r="G14" s="4">
        <v>12</v>
      </c>
      <c r="H14" s="4">
        <v>4</v>
      </c>
      <c r="I14" s="8">
        <f t="shared" si="0"/>
        <v>34</v>
      </c>
    </row>
    <row r="15" spans="1:9" x14ac:dyDescent="0.25">
      <c r="A15" s="3">
        <v>12</v>
      </c>
      <c r="B15" s="3" t="s">
        <v>65</v>
      </c>
      <c r="C15" s="5" t="s">
        <v>64</v>
      </c>
      <c r="D15" s="3"/>
      <c r="E15" s="3"/>
      <c r="F15" s="3"/>
      <c r="G15" s="4"/>
      <c r="H15" s="4">
        <v>19</v>
      </c>
      <c r="I15" s="8">
        <f t="shared" si="0"/>
        <v>19</v>
      </c>
    </row>
    <row r="16" spans="1:9" x14ac:dyDescent="0.25">
      <c r="A16" s="3">
        <v>13</v>
      </c>
      <c r="B16" s="3" t="s">
        <v>63</v>
      </c>
      <c r="C16" s="5" t="s">
        <v>62</v>
      </c>
      <c r="D16" s="3">
        <v>5</v>
      </c>
      <c r="E16" s="3"/>
      <c r="F16" s="3"/>
      <c r="G16" s="4"/>
      <c r="H16" s="4">
        <v>3</v>
      </c>
      <c r="I16" s="8">
        <f t="shared" si="0"/>
        <v>8</v>
      </c>
    </row>
    <row r="17" spans="1:9" x14ac:dyDescent="0.25">
      <c r="A17" s="3">
        <v>14</v>
      </c>
      <c r="B17" s="3" t="s">
        <v>61</v>
      </c>
      <c r="C17" s="5" t="s">
        <v>60</v>
      </c>
      <c r="D17" s="3">
        <v>4</v>
      </c>
      <c r="E17" s="3"/>
      <c r="F17" s="3"/>
      <c r="G17" s="10"/>
      <c r="H17" s="4">
        <v>0</v>
      </c>
      <c r="I17" s="8">
        <f t="shared" si="0"/>
        <v>4</v>
      </c>
    </row>
    <row r="18" spans="1:9" x14ac:dyDescent="0.25">
      <c r="A18" s="3">
        <v>15</v>
      </c>
      <c r="B18" s="3" t="s">
        <v>59</v>
      </c>
      <c r="C18" s="5" t="s">
        <v>58</v>
      </c>
      <c r="D18" s="3"/>
      <c r="E18" s="3"/>
      <c r="F18" s="3"/>
      <c r="G18" s="4"/>
      <c r="H18" s="4">
        <v>8</v>
      </c>
      <c r="I18" s="8">
        <f t="shared" si="0"/>
        <v>8</v>
      </c>
    </row>
    <row r="19" spans="1:9" x14ac:dyDescent="0.25">
      <c r="A19" s="3">
        <v>16</v>
      </c>
      <c r="B19" s="3" t="s">
        <v>57</v>
      </c>
      <c r="C19" s="5" t="s">
        <v>56</v>
      </c>
      <c r="D19" s="3">
        <v>7</v>
      </c>
      <c r="E19" s="3"/>
      <c r="F19" s="3"/>
      <c r="G19" s="4"/>
      <c r="H19" s="4">
        <v>11</v>
      </c>
      <c r="I19" s="8">
        <f t="shared" si="0"/>
        <v>18</v>
      </c>
    </row>
    <row r="20" spans="1:9" x14ac:dyDescent="0.25">
      <c r="A20" s="3">
        <v>17</v>
      </c>
      <c r="B20" s="3" t="s">
        <v>55</v>
      </c>
      <c r="C20" s="5" t="s">
        <v>86</v>
      </c>
      <c r="D20" s="3"/>
      <c r="E20" s="3"/>
      <c r="F20" s="3"/>
      <c r="G20" s="4"/>
      <c r="H20" s="4">
        <v>0</v>
      </c>
      <c r="I20" s="8">
        <f t="shared" si="0"/>
        <v>0</v>
      </c>
    </row>
    <row r="21" spans="1:9" x14ac:dyDescent="0.25">
      <c r="A21" s="3">
        <v>18</v>
      </c>
      <c r="B21" s="3" t="s">
        <v>54</v>
      </c>
      <c r="C21" s="5" t="s">
        <v>53</v>
      </c>
      <c r="D21" s="3">
        <v>12</v>
      </c>
      <c r="E21" s="3"/>
      <c r="F21" s="3"/>
      <c r="G21" s="4"/>
      <c r="H21" s="4">
        <v>4</v>
      </c>
      <c r="I21" s="8">
        <f t="shared" si="0"/>
        <v>16</v>
      </c>
    </row>
    <row r="22" spans="1:9" x14ac:dyDescent="0.25">
      <c r="A22" s="17" t="s">
        <v>52</v>
      </c>
      <c r="B22" s="18"/>
      <c r="C22" s="19"/>
      <c r="D22" s="2">
        <f t="shared" ref="D22:G22" si="2">SUM(D13:D21)</f>
        <v>46</v>
      </c>
      <c r="E22" s="2">
        <f t="shared" si="2"/>
        <v>0</v>
      </c>
      <c r="F22" s="2">
        <f t="shared" si="2"/>
        <v>12</v>
      </c>
      <c r="G22" s="2">
        <f t="shared" si="2"/>
        <v>16</v>
      </c>
      <c r="H22" s="12">
        <v>49</v>
      </c>
      <c r="I22" s="1">
        <f t="shared" si="0"/>
        <v>123</v>
      </c>
    </row>
    <row r="23" spans="1:9" ht="13.5" customHeight="1" x14ac:dyDescent="0.25">
      <c r="A23" s="3">
        <v>19</v>
      </c>
      <c r="B23" s="3" t="s">
        <v>51</v>
      </c>
      <c r="C23" s="5" t="s">
        <v>50</v>
      </c>
      <c r="D23" s="3"/>
      <c r="E23" s="3"/>
      <c r="F23" s="3"/>
      <c r="G23" s="4">
        <v>3</v>
      </c>
      <c r="H23" s="4">
        <v>0</v>
      </c>
      <c r="I23" s="8">
        <f t="shared" si="0"/>
        <v>3</v>
      </c>
    </row>
    <row r="24" spans="1:9" x14ac:dyDescent="0.25">
      <c r="A24" s="3">
        <v>20</v>
      </c>
      <c r="B24" s="3" t="s">
        <v>49</v>
      </c>
      <c r="C24" s="5" t="s">
        <v>48</v>
      </c>
      <c r="D24" s="3">
        <v>4</v>
      </c>
      <c r="E24" s="3"/>
      <c r="F24" s="3"/>
      <c r="G24" s="4"/>
      <c r="H24" s="4">
        <v>10</v>
      </c>
      <c r="I24" s="8">
        <f t="shared" si="0"/>
        <v>14</v>
      </c>
    </row>
    <row r="25" spans="1:9" x14ac:dyDescent="0.25">
      <c r="A25" s="3">
        <v>21</v>
      </c>
      <c r="B25" s="3" t="s">
        <v>47</v>
      </c>
      <c r="C25" s="5" t="s">
        <v>46</v>
      </c>
      <c r="D25" s="3">
        <v>4</v>
      </c>
      <c r="E25" s="3"/>
      <c r="F25" s="3">
        <v>7</v>
      </c>
      <c r="G25" s="4"/>
      <c r="H25" s="4">
        <v>0</v>
      </c>
      <c r="I25" s="8">
        <f t="shared" si="0"/>
        <v>11</v>
      </c>
    </row>
    <row r="26" spans="1:9" x14ac:dyDescent="0.25">
      <c r="A26" s="3">
        <v>22</v>
      </c>
      <c r="B26" s="3" t="s">
        <v>45</v>
      </c>
      <c r="C26" s="5" t="s">
        <v>92</v>
      </c>
      <c r="D26" s="3">
        <v>6</v>
      </c>
      <c r="E26" s="3"/>
      <c r="F26" s="3">
        <v>19</v>
      </c>
      <c r="G26" s="4"/>
      <c r="H26" s="4">
        <v>0</v>
      </c>
      <c r="I26" s="8">
        <f t="shared" si="0"/>
        <v>25</v>
      </c>
    </row>
    <row r="27" spans="1:9" x14ac:dyDescent="0.25">
      <c r="A27" s="3">
        <v>23</v>
      </c>
      <c r="B27" s="3" t="s">
        <v>44</v>
      </c>
      <c r="C27" s="5" t="s">
        <v>90</v>
      </c>
      <c r="D27" s="3">
        <v>6</v>
      </c>
      <c r="E27" s="3"/>
      <c r="F27" s="3"/>
      <c r="G27" s="4"/>
      <c r="H27" s="4">
        <v>0</v>
      </c>
      <c r="I27" s="8">
        <f t="shared" si="0"/>
        <v>6</v>
      </c>
    </row>
    <row r="28" spans="1:9" x14ac:dyDescent="0.25">
      <c r="A28" s="3">
        <v>24</v>
      </c>
      <c r="B28" s="3" t="s">
        <v>43</v>
      </c>
      <c r="C28" s="5" t="s">
        <v>42</v>
      </c>
      <c r="D28" s="3">
        <v>2</v>
      </c>
      <c r="E28" s="3"/>
      <c r="F28" s="3">
        <v>15</v>
      </c>
      <c r="G28" s="4"/>
      <c r="H28" s="4">
        <v>0</v>
      </c>
      <c r="I28" s="8">
        <f t="shared" si="0"/>
        <v>17</v>
      </c>
    </row>
    <row r="29" spans="1:9" x14ac:dyDescent="0.25">
      <c r="A29" s="3">
        <v>25</v>
      </c>
      <c r="B29" s="3" t="s">
        <v>41</v>
      </c>
      <c r="C29" s="5" t="s">
        <v>40</v>
      </c>
      <c r="D29" s="3"/>
      <c r="E29" s="3"/>
      <c r="F29" s="3"/>
      <c r="G29" s="4"/>
      <c r="H29" s="4">
        <v>0</v>
      </c>
      <c r="I29" s="8">
        <f t="shared" si="0"/>
        <v>0</v>
      </c>
    </row>
    <row r="30" spans="1:9" x14ac:dyDescent="0.25">
      <c r="A30" s="3">
        <v>26</v>
      </c>
      <c r="B30" s="3" t="s">
        <v>39</v>
      </c>
      <c r="C30" s="5" t="s">
        <v>38</v>
      </c>
      <c r="D30" s="3"/>
      <c r="E30" s="3"/>
      <c r="F30" s="3"/>
      <c r="G30" s="4"/>
      <c r="H30" s="4">
        <v>0</v>
      </c>
      <c r="I30" s="8">
        <f t="shared" si="0"/>
        <v>0</v>
      </c>
    </row>
    <row r="31" spans="1:9" x14ac:dyDescent="0.25">
      <c r="A31" s="3">
        <v>27</v>
      </c>
      <c r="B31" s="3" t="s">
        <v>37</v>
      </c>
      <c r="C31" s="5" t="s">
        <v>36</v>
      </c>
      <c r="D31" s="3"/>
      <c r="E31" s="3"/>
      <c r="F31" s="3"/>
      <c r="G31" s="4">
        <v>2</v>
      </c>
      <c r="H31" s="4">
        <v>10</v>
      </c>
      <c r="I31" s="8">
        <f t="shared" si="0"/>
        <v>12</v>
      </c>
    </row>
    <row r="32" spans="1:9" x14ac:dyDescent="0.25">
      <c r="A32" s="17" t="s">
        <v>35</v>
      </c>
      <c r="B32" s="18"/>
      <c r="C32" s="19"/>
      <c r="D32" s="2">
        <f t="shared" ref="D32:G32" si="3">SUM(D23:D31)</f>
        <v>22</v>
      </c>
      <c r="E32" s="2">
        <f t="shared" si="3"/>
        <v>0</v>
      </c>
      <c r="F32" s="2">
        <f t="shared" si="3"/>
        <v>41</v>
      </c>
      <c r="G32" s="2">
        <f t="shared" si="3"/>
        <v>5</v>
      </c>
      <c r="H32" s="12">
        <v>20</v>
      </c>
      <c r="I32" s="1">
        <f t="shared" si="0"/>
        <v>88</v>
      </c>
    </row>
    <row r="33" spans="1:12" x14ac:dyDescent="0.25">
      <c r="A33" s="3">
        <v>28</v>
      </c>
      <c r="B33" s="3" t="s">
        <v>34</v>
      </c>
      <c r="C33" s="5" t="s">
        <v>33</v>
      </c>
      <c r="D33" s="3">
        <v>7</v>
      </c>
      <c r="E33" s="3"/>
      <c r="F33" s="3"/>
      <c r="G33" s="3"/>
      <c r="H33" s="4">
        <v>3</v>
      </c>
      <c r="I33" s="8">
        <f t="shared" si="0"/>
        <v>10</v>
      </c>
    </row>
    <row r="34" spans="1:12" x14ac:dyDescent="0.25">
      <c r="A34" s="3">
        <v>29</v>
      </c>
      <c r="B34" s="3" t="s">
        <v>32</v>
      </c>
      <c r="C34" s="5" t="s">
        <v>87</v>
      </c>
      <c r="D34" s="3"/>
      <c r="E34" s="3"/>
      <c r="F34" s="3"/>
      <c r="G34" s="3"/>
      <c r="H34" s="4">
        <v>8</v>
      </c>
      <c r="I34" s="8">
        <f t="shared" si="0"/>
        <v>8</v>
      </c>
    </row>
    <row r="35" spans="1:12" x14ac:dyDescent="0.25">
      <c r="A35" s="3">
        <v>30</v>
      </c>
      <c r="B35" s="3" t="s">
        <v>31</v>
      </c>
      <c r="C35" s="5" t="s">
        <v>30</v>
      </c>
      <c r="D35" s="3">
        <v>16</v>
      </c>
      <c r="E35" s="3"/>
      <c r="F35" s="3"/>
      <c r="G35" s="3"/>
      <c r="H35" s="4">
        <v>2</v>
      </c>
      <c r="I35" s="8">
        <f t="shared" ref="I35:I53" si="4">SUM(D35:H35)</f>
        <v>18</v>
      </c>
    </row>
    <row r="36" spans="1:12" x14ac:dyDescent="0.25">
      <c r="A36" s="3">
        <v>31</v>
      </c>
      <c r="B36" s="3" t="s">
        <v>29</v>
      </c>
      <c r="C36" s="5" t="s">
        <v>28</v>
      </c>
      <c r="D36" s="3">
        <v>15</v>
      </c>
      <c r="E36" s="3"/>
      <c r="F36" s="3"/>
      <c r="G36" s="3"/>
      <c r="H36" s="4">
        <v>0</v>
      </c>
      <c r="I36" s="8">
        <f t="shared" si="4"/>
        <v>15</v>
      </c>
    </row>
    <row r="37" spans="1:12" s="6" customFormat="1" x14ac:dyDescent="0.25">
      <c r="A37" s="8">
        <v>32</v>
      </c>
      <c r="B37" s="8" t="s">
        <v>27</v>
      </c>
      <c r="C37" s="9" t="s">
        <v>26</v>
      </c>
      <c r="D37" s="8"/>
      <c r="E37" s="8"/>
      <c r="F37" s="8">
        <v>12</v>
      </c>
      <c r="G37" s="8"/>
      <c r="H37" s="4">
        <v>18</v>
      </c>
      <c r="I37" s="8">
        <f t="shared" si="4"/>
        <v>30</v>
      </c>
      <c r="J37" s="7"/>
    </row>
    <row r="38" spans="1:12" x14ac:dyDescent="0.25">
      <c r="A38" s="3">
        <v>33</v>
      </c>
      <c r="B38" s="3" t="s">
        <v>25</v>
      </c>
      <c r="C38" s="5" t="s">
        <v>24</v>
      </c>
      <c r="D38" s="3"/>
      <c r="E38" s="3"/>
      <c r="F38" s="3"/>
      <c r="G38" s="3"/>
      <c r="H38" s="4">
        <v>0</v>
      </c>
      <c r="I38" s="8">
        <f t="shared" si="4"/>
        <v>0</v>
      </c>
      <c r="J38" s="7"/>
      <c r="K38" s="6"/>
      <c r="L38" s="6"/>
    </row>
    <row r="39" spans="1:12" x14ac:dyDescent="0.25">
      <c r="A39" s="3">
        <v>34</v>
      </c>
      <c r="B39" s="3" t="s">
        <v>23</v>
      </c>
      <c r="C39" s="5" t="s">
        <v>22</v>
      </c>
      <c r="D39" s="3"/>
      <c r="E39" s="3"/>
      <c r="F39" s="3"/>
      <c r="G39" s="3"/>
      <c r="H39" s="4">
        <v>0</v>
      </c>
      <c r="I39" s="8">
        <f t="shared" si="4"/>
        <v>0</v>
      </c>
    </row>
    <row r="40" spans="1:12" x14ac:dyDescent="0.25">
      <c r="A40" s="3">
        <v>35</v>
      </c>
      <c r="B40" s="3" t="s">
        <v>21</v>
      </c>
      <c r="C40" s="5" t="s">
        <v>20</v>
      </c>
      <c r="D40" s="3">
        <v>31</v>
      </c>
      <c r="E40" s="3"/>
      <c r="F40" s="3">
        <v>12</v>
      </c>
      <c r="G40" s="3"/>
      <c r="H40" s="4">
        <v>6</v>
      </c>
      <c r="I40" s="8">
        <f t="shared" si="4"/>
        <v>49</v>
      </c>
    </row>
    <row r="41" spans="1:12" x14ac:dyDescent="0.25">
      <c r="A41" s="3">
        <v>36</v>
      </c>
      <c r="B41" s="3" t="s">
        <v>19</v>
      </c>
      <c r="C41" s="5" t="s">
        <v>18</v>
      </c>
      <c r="D41" s="3">
        <v>13</v>
      </c>
      <c r="E41" s="3">
        <v>22</v>
      </c>
      <c r="F41" s="3">
        <v>12</v>
      </c>
      <c r="G41" s="3"/>
      <c r="H41" s="4">
        <v>16</v>
      </c>
      <c r="I41" s="8">
        <f t="shared" si="4"/>
        <v>63</v>
      </c>
    </row>
    <row r="42" spans="1:12" x14ac:dyDescent="0.25">
      <c r="A42" s="17" t="s">
        <v>17</v>
      </c>
      <c r="B42" s="18"/>
      <c r="C42" s="19"/>
      <c r="D42" s="2">
        <f t="shared" ref="D42:G42" si="5">SUM(D33:D41)</f>
        <v>82</v>
      </c>
      <c r="E42" s="2">
        <f t="shared" si="5"/>
        <v>22</v>
      </c>
      <c r="F42" s="2">
        <f t="shared" si="5"/>
        <v>36</v>
      </c>
      <c r="G42" s="2">
        <f t="shared" si="5"/>
        <v>0</v>
      </c>
      <c r="H42" s="12">
        <v>53</v>
      </c>
      <c r="I42" s="1">
        <f t="shared" si="4"/>
        <v>193</v>
      </c>
    </row>
    <row r="43" spans="1:12" x14ac:dyDescent="0.25">
      <c r="A43" s="3">
        <v>37</v>
      </c>
      <c r="B43" s="3" t="s">
        <v>16</v>
      </c>
      <c r="C43" s="5" t="s">
        <v>15</v>
      </c>
      <c r="D43" s="3">
        <v>24</v>
      </c>
      <c r="E43" s="3"/>
      <c r="F43" s="3"/>
      <c r="G43" s="4">
        <v>3</v>
      </c>
      <c r="H43" s="4">
        <v>15</v>
      </c>
      <c r="I43" s="8">
        <f t="shared" si="4"/>
        <v>42</v>
      </c>
    </row>
    <row r="44" spans="1:12" x14ac:dyDescent="0.25">
      <c r="A44" s="3">
        <v>38</v>
      </c>
      <c r="B44" s="3" t="s">
        <v>14</v>
      </c>
      <c r="C44" s="5" t="s">
        <v>88</v>
      </c>
      <c r="D44" s="3"/>
      <c r="E44" s="3">
        <v>7</v>
      </c>
      <c r="F44" s="3">
        <v>10</v>
      </c>
      <c r="G44" s="4"/>
      <c r="H44" s="4">
        <v>0</v>
      </c>
      <c r="I44" s="8">
        <f t="shared" si="4"/>
        <v>17</v>
      </c>
    </row>
    <row r="45" spans="1:12" x14ac:dyDescent="0.25">
      <c r="A45" s="3">
        <v>39</v>
      </c>
      <c r="B45" s="3" t="s">
        <v>13</v>
      </c>
      <c r="C45" s="5" t="s">
        <v>89</v>
      </c>
      <c r="D45" s="3">
        <v>10</v>
      </c>
      <c r="E45" s="3"/>
      <c r="F45" s="3"/>
      <c r="G45" s="4"/>
      <c r="H45" s="4">
        <v>0</v>
      </c>
      <c r="I45" s="8">
        <f t="shared" si="4"/>
        <v>10</v>
      </c>
    </row>
    <row r="46" spans="1:12" x14ac:dyDescent="0.25">
      <c r="A46" s="3">
        <v>40</v>
      </c>
      <c r="B46" s="3" t="s">
        <v>12</v>
      </c>
      <c r="C46" s="5" t="s">
        <v>11</v>
      </c>
      <c r="D46" s="3">
        <v>25</v>
      </c>
      <c r="E46" s="3">
        <v>12</v>
      </c>
      <c r="F46" s="3"/>
      <c r="G46" s="4"/>
      <c r="H46" s="4">
        <v>7</v>
      </c>
      <c r="I46" s="8">
        <f t="shared" si="4"/>
        <v>44</v>
      </c>
    </row>
    <row r="47" spans="1:12" x14ac:dyDescent="0.25">
      <c r="A47" s="3">
        <v>41</v>
      </c>
      <c r="B47" s="3" t="s">
        <v>10</v>
      </c>
      <c r="C47" s="5" t="s">
        <v>9</v>
      </c>
      <c r="D47" s="3"/>
      <c r="E47" s="3"/>
      <c r="F47" s="3">
        <v>22</v>
      </c>
      <c r="G47" s="4"/>
      <c r="H47" s="4">
        <v>28</v>
      </c>
      <c r="I47" s="8">
        <f t="shared" si="4"/>
        <v>50</v>
      </c>
    </row>
    <row r="48" spans="1:12" x14ac:dyDescent="0.25">
      <c r="A48" s="3">
        <v>42</v>
      </c>
      <c r="B48" s="3" t="s">
        <v>8</v>
      </c>
      <c r="C48" s="5" t="s">
        <v>91</v>
      </c>
      <c r="D48" s="3"/>
      <c r="E48" s="3"/>
      <c r="F48" s="3">
        <v>12</v>
      </c>
      <c r="G48" s="4"/>
      <c r="H48" s="4">
        <v>4</v>
      </c>
      <c r="I48" s="8">
        <f t="shared" si="4"/>
        <v>16</v>
      </c>
    </row>
    <row r="49" spans="1:9" x14ac:dyDescent="0.25">
      <c r="A49" s="3">
        <v>43</v>
      </c>
      <c r="B49" s="3" t="s">
        <v>7</v>
      </c>
      <c r="C49" s="5" t="s">
        <v>6</v>
      </c>
      <c r="D49" s="3"/>
      <c r="E49" s="3"/>
      <c r="F49" s="3"/>
      <c r="G49" s="4"/>
      <c r="H49" s="4">
        <v>0</v>
      </c>
      <c r="I49" s="8">
        <f t="shared" si="4"/>
        <v>0</v>
      </c>
    </row>
    <row r="50" spans="1:9" x14ac:dyDescent="0.25">
      <c r="A50" s="3">
        <v>44</v>
      </c>
      <c r="B50" s="3" t="s">
        <v>5</v>
      </c>
      <c r="C50" s="5" t="s">
        <v>4</v>
      </c>
      <c r="D50" s="3"/>
      <c r="E50" s="3"/>
      <c r="F50" s="3"/>
      <c r="G50" s="4"/>
      <c r="H50" s="4">
        <v>5</v>
      </c>
      <c r="I50" s="8">
        <f t="shared" si="4"/>
        <v>5</v>
      </c>
    </row>
    <row r="51" spans="1:9" x14ac:dyDescent="0.25">
      <c r="A51" s="3">
        <v>45</v>
      </c>
      <c r="B51" s="3" t="s">
        <v>3</v>
      </c>
      <c r="C51" s="5" t="s">
        <v>94</v>
      </c>
      <c r="D51" s="3">
        <v>5</v>
      </c>
      <c r="E51" s="3"/>
      <c r="F51" s="3"/>
      <c r="G51" s="4"/>
      <c r="H51" s="4">
        <v>0</v>
      </c>
      <c r="I51" s="8">
        <f t="shared" si="4"/>
        <v>5</v>
      </c>
    </row>
    <row r="52" spans="1:9" ht="15" customHeight="1" x14ac:dyDescent="0.25">
      <c r="A52" s="17" t="s">
        <v>1</v>
      </c>
      <c r="B52" s="18"/>
      <c r="C52" s="19"/>
      <c r="D52" s="2">
        <f t="shared" ref="D52:G52" si="6">SUM(D43:D51)</f>
        <v>64</v>
      </c>
      <c r="E52" s="2">
        <f t="shared" si="6"/>
        <v>19</v>
      </c>
      <c r="F52" s="2">
        <f t="shared" si="6"/>
        <v>44</v>
      </c>
      <c r="G52" s="2">
        <f t="shared" si="6"/>
        <v>3</v>
      </c>
      <c r="H52" s="12">
        <v>59</v>
      </c>
      <c r="I52" s="1">
        <f t="shared" si="4"/>
        <v>189</v>
      </c>
    </row>
    <row r="53" spans="1:9" ht="14.25" customHeight="1" x14ac:dyDescent="0.25">
      <c r="A53" s="17" t="s">
        <v>0</v>
      </c>
      <c r="B53" s="18"/>
      <c r="C53" s="19"/>
      <c r="D53" s="1">
        <f>D52+D42+D32+D22+D12</f>
        <v>252</v>
      </c>
      <c r="E53" s="1">
        <f t="shared" ref="E53:G53" si="7">E52+E42+E32+E22+E12</f>
        <v>41</v>
      </c>
      <c r="F53" s="1">
        <f t="shared" si="7"/>
        <v>200</v>
      </c>
      <c r="G53" s="1">
        <f t="shared" si="7"/>
        <v>28</v>
      </c>
      <c r="H53" s="12">
        <v>213</v>
      </c>
      <c r="I53" s="1">
        <f t="shared" si="4"/>
        <v>734</v>
      </c>
    </row>
  </sheetData>
  <mergeCells count="7">
    <mergeCell ref="A1:I1"/>
    <mergeCell ref="A53:C53"/>
    <mergeCell ref="A12:C12"/>
    <mergeCell ref="A22:C22"/>
    <mergeCell ref="A32:C32"/>
    <mergeCell ref="A42:C42"/>
    <mergeCell ref="A52:C52"/>
  </mergeCells>
  <pageMargins left="0.11811023622047245" right="0.11811023622047245" top="0.15748031496062992" bottom="0.15748031496062992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12</vt:lpstr>
      <vt:lpstr>'12'!Область_печати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Бекзат Такенов</dc:creator>
  <cp:lastModifiedBy>Nursultan Baliikhanov</cp:lastModifiedBy>
  <cp:lastPrinted>2025-10-06T03:45:04Z</cp:lastPrinted>
  <dcterms:created xsi:type="dcterms:W3CDTF">2024-02-01T03:38:06Z</dcterms:created>
  <dcterms:modified xsi:type="dcterms:W3CDTF">2026-01-07T13:26:58Z</dcterms:modified>
</cp:coreProperties>
</file>