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Tolessinov.OMS\Desktop\"/>
    </mc:Choice>
  </mc:AlternateContent>
  <xr:revisionPtr revIDLastSave="0" documentId="13_ncr:1_{18169117-2534-4500-98CB-7D9B7ACA2AD8}" xr6:coauthVersionLast="47" xr6:coauthVersionMax="47" xr10:uidLastSave="{00000000-0000-0000-0000-000000000000}"/>
  <bookViews>
    <workbookView xWindow="-120" yWindow="-120" windowWidth="29040" windowHeight="15840" xr2:uid="{CF83456E-CA3F-4971-8695-90F79529740E}"/>
  </bookViews>
  <sheets>
    <sheet name="708" sheetId="7" r:id="rId1"/>
  </sheets>
  <definedNames>
    <definedName name="_xlnm.Print_Area" localSheetId="0">'708'!$A$1:$S$53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7" l="1"/>
  <c r="S3" i="7" s="1"/>
  <c r="F4" i="7"/>
  <c r="F5" i="7"/>
  <c r="F6" i="7"/>
  <c r="F7" i="7"/>
  <c r="F8" i="7"/>
  <c r="F9" i="7"/>
  <c r="F10" i="7"/>
  <c r="F11" i="7"/>
  <c r="F13" i="7"/>
  <c r="F14" i="7"/>
  <c r="F15" i="7"/>
  <c r="F16" i="7"/>
  <c r="F17" i="7"/>
  <c r="F18" i="7"/>
  <c r="F19" i="7"/>
  <c r="F20" i="7"/>
  <c r="F21" i="7"/>
  <c r="F23" i="7"/>
  <c r="F24" i="7"/>
  <c r="F25" i="7"/>
  <c r="F26" i="7"/>
  <c r="F27" i="7"/>
  <c r="F28" i="7"/>
  <c r="F29" i="7"/>
  <c r="F30" i="7"/>
  <c r="F31" i="7"/>
  <c r="F33" i="7"/>
  <c r="F34" i="7"/>
  <c r="F35" i="7"/>
  <c r="F36" i="7"/>
  <c r="F37" i="7"/>
  <c r="F38" i="7"/>
  <c r="F39" i="7"/>
  <c r="F40" i="7"/>
  <c r="F41" i="7"/>
  <c r="F43" i="7"/>
  <c r="F44" i="7"/>
  <c r="F45" i="7"/>
  <c r="F46" i="7"/>
  <c r="F47" i="7"/>
  <c r="F48" i="7"/>
  <c r="F49" i="7"/>
  <c r="F50" i="7"/>
  <c r="F51" i="7"/>
  <c r="Q52" i="7"/>
  <c r="P52" i="7"/>
  <c r="O52" i="7"/>
  <c r="M52" i="7"/>
  <c r="L52" i="7"/>
  <c r="K52" i="7"/>
  <c r="I52" i="7"/>
  <c r="H52" i="7"/>
  <c r="G52" i="7"/>
  <c r="E52" i="7"/>
  <c r="D52" i="7"/>
  <c r="C52" i="7"/>
  <c r="R51" i="7"/>
  <c r="N51" i="7"/>
  <c r="J51" i="7"/>
  <c r="R50" i="7"/>
  <c r="N50" i="7"/>
  <c r="J50" i="7"/>
  <c r="R49" i="7"/>
  <c r="N49" i="7"/>
  <c r="J49" i="7"/>
  <c r="R48" i="7"/>
  <c r="N48" i="7"/>
  <c r="J48" i="7"/>
  <c r="R47" i="7"/>
  <c r="N47" i="7"/>
  <c r="J47" i="7"/>
  <c r="R46" i="7"/>
  <c r="N46" i="7"/>
  <c r="J46" i="7"/>
  <c r="R45" i="7"/>
  <c r="N45" i="7"/>
  <c r="J45" i="7"/>
  <c r="R44" i="7"/>
  <c r="N44" i="7"/>
  <c r="J44" i="7"/>
  <c r="R43" i="7"/>
  <c r="N43" i="7"/>
  <c r="J43" i="7"/>
  <c r="Q42" i="7"/>
  <c r="P42" i="7"/>
  <c r="O42" i="7"/>
  <c r="M42" i="7"/>
  <c r="L42" i="7"/>
  <c r="K42" i="7"/>
  <c r="I42" i="7"/>
  <c r="H42" i="7"/>
  <c r="G42" i="7"/>
  <c r="E42" i="7"/>
  <c r="D42" i="7"/>
  <c r="C42" i="7"/>
  <c r="R41" i="7"/>
  <c r="N41" i="7"/>
  <c r="J41" i="7"/>
  <c r="R40" i="7"/>
  <c r="N40" i="7"/>
  <c r="J40" i="7"/>
  <c r="R39" i="7"/>
  <c r="N39" i="7"/>
  <c r="J39" i="7"/>
  <c r="R38" i="7"/>
  <c r="N38" i="7"/>
  <c r="J38" i="7"/>
  <c r="R37" i="7"/>
  <c r="N37" i="7"/>
  <c r="J37" i="7"/>
  <c r="R36" i="7"/>
  <c r="N36" i="7"/>
  <c r="J36" i="7"/>
  <c r="R35" i="7"/>
  <c r="N35" i="7"/>
  <c r="J35" i="7"/>
  <c r="R34" i="7"/>
  <c r="N34" i="7"/>
  <c r="J34" i="7"/>
  <c r="R33" i="7"/>
  <c r="N33" i="7"/>
  <c r="J33" i="7"/>
  <c r="Q32" i="7"/>
  <c r="P32" i="7"/>
  <c r="O32" i="7"/>
  <c r="M32" i="7"/>
  <c r="L32" i="7"/>
  <c r="K32" i="7"/>
  <c r="I32" i="7"/>
  <c r="H32" i="7"/>
  <c r="G32" i="7"/>
  <c r="E32" i="7"/>
  <c r="D32" i="7"/>
  <c r="C32" i="7"/>
  <c r="R31" i="7"/>
  <c r="N31" i="7"/>
  <c r="J31" i="7"/>
  <c r="R30" i="7"/>
  <c r="N30" i="7"/>
  <c r="J30" i="7"/>
  <c r="R29" i="7"/>
  <c r="N29" i="7"/>
  <c r="J29" i="7"/>
  <c r="R28" i="7"/>
  <c r="N28" i="7"/>
  <c r="J28" i="7"/>
  <c r="R27" i="7"/>
  <c r="N27" i="7"/>
  <c r="J27" i="7"/>
  <c r="R26" i="7"/>
  <c r="N26" i="7"/>
  <c r="J26" i="7"/>
  <c r="R25" i="7"/>
  <c r="N25" i="7"/>
  <c r="J25" i="7"/>
  <c r="R24" i="7"/>
  <c r="N24" i="7"/>
  <c r="J24" i="7"/>
  <c r="R23" i="7"/>
  <c r="N23" i="7"/>
  <c r="J23" i="7"/>
  <c r="Q22" i="7"/>
  <c r="P22" i="7"/>
  <c r="O22" i="7"/>
  <c r="M22" i="7"/>
  <c r="L22" i="7"/>
  <c r="K22" i="7"/>
  <c r="I22" i="7"/>
  <c r="H22" i="7"/>
  <c r="G22" i="7"/>
  <c r="E22" i="7"/>
  <c r="D22" i="7"/>
  <c r="C22" i="7"/>
  <c r="R21" i="7"/>
  <c r="N21" i="7"/>
  <c r="J21" i="7"/>
  <c r="R20" i="7"/>
  <c r="N20" i="7"/>
  <c r="J20" i="7"/>
  <c r="R19" i="7"/>
  <c r="N19" i="7"/>
  <c r="J19" i="7"/>
  <c r="R18" i="7"/>
  <c r="N18" i="7"/>
  <c r="J18" i="7"/>
  <c r="R17" i="7"/>
  <c r="N17" i="7"/>
  <c r="J17" i="7"/>
  <c r="R16" i="7"/>
  <c r="N16" i="7"/>
  <c r="J16" i="7"/>
  <c r="R15" i="7"/>
  <c r="N15" i="7"/>
  <c r="J15" i="7"/>
  <c r="R14" i="7"/>
  <c r="N14" i="7"/>
  <c r="J14" i="7"/>
  <c r="R13" i="7"/>
  <c r="N13" i="7"/>
  <c r="J13" i="7"/>
  <c r="Q12" i="7"/>
  <c r="P12" i="7"/>
  <c r="O12" i="7"/>
  <c r="M12" i="7"/>
  <c r="L12" i="7"/>
  <c r="K12" i="7"/>
  <c r="I12" i="7"/>
  <c r="I53" i="7" s="1"/>
  <c r="H12" i="7"/>
  <c r="G12" i="7"/>
  <c r="E12" i="7"/>
  <c r="D12" i="7"/>
  <c r="C12" i="7"/>
  <c r="R11" i="7"/>
  <c r="N11" i="7"/>
  <c r="J11" i="7"/>
  <c r="R10" i="7"/>
  <c r="N10" i="7"/>
  <c r="J10" i="7"/>
  <c r="R9" i="7"/>
  <c r="N9" i="7"/>
  <c r="J9" i="7"/>
  <c r="R8" i="7"/>
  <c r="N8" i="7"/>
  <c r="J8" i="7"/>
  <c r="R7" i="7"/>
  <c r="N7" i="7"/>
  <c r="J7" i="7"/>
  <c r="R6" i="7"/>
  <c r="N6" i="7"/>
  <c r="J6" i="7"/>
  <c r="R5" i="7"/>
  <c r="N5" i="7"/>
  <c r="J5" i="7"/>
  <c r="R4" i="7"/>
  <c r="N4" i="7"/>
  <c r="J4" i="7"/>
  <c r="R3" i="7"/>
  <c r="N3" i="7"/>
  <c r="J3" i="7"/>
  <c r="F32" i="7" l="1"/>
  <c r="F42" i="7"/>
  <c r="F22" i="7"/>
  <c r="F52" i="7"/>
  <c r="F12" i="7"/>
  <c r="F53" i="7" s="1"/>
  <c r="R42" i="7"/>
  <c r="S48" i="7"/>
  <c r="S28" i="7"/>
  <c r="S36" i="7"/>
  <c r="S50" i="7"/>
  <c r="S29" i="7"/>
  <c r="S14" i="7"/>
  <c r="S20" i="7"/>
  <c r="S24" i="7"/>
  <c r="S34" i="7"/>
  <c r="S46" i="7"/>
  <c r="S15" i="7"/>
  <c r="S17" i="7"/>
  <c r="S21" i="7"/>
  <c r="S27" i="7"/>
  <c r="J22" i="7"/>
  <c r="J32" i="7"/>
  <c r="S45" i="7"/>
  <c r="J52" i="7"/>
  <c r="R22" i="7"/>
  <c r="S47" i="7"/>
  <c r="S38" i="7"/>
  <c r="Q53" i="7"/>
  <c r="S51" i="7"/>
  <c r="P53" i="7"/>
  <c r="S23" i="7"/>
  <c r="R52" i="7"/>
  <c r="S44" i="7"/>
  <c r="R32" i="7"/>
  <c r="O53" i="7"/>
  <c r="R12" i="7"/>
  <c r="N22" i="7"/>
  <c r="S31" i="7"/>
  <c r="M53" i="7"/>
  <c r="S40" i="7"/>
  <c r="L53" i="7"/>
  <c r="N52" i="7"/>
  <c r="S41" i="7"/>
  <c r="K53" i="7"/>
  <c r="N42" i="7"/>
  <c r="N32" i="7"/>
  <c r="S16" i="7"/>
  <c r="S7" i="7"/>
  <c r="N12" i="7"/>
  <c r="S5" i="7"/>
  <c r="S9" i="7"/>
  <c r="S37" i="7"/>
  <c r="J42" i="7"/>
  <c r="H53" i="7"/>
  <c r="S26" i="7"/>
  <c r="S35" i="7"/>
  <c r="S8" i="7"/>
  <c r="S6" i="7"/>
  <c r="S33" i="7"/>
  <c r="D53" i="7"/>
  <c r="S18" i="7"/>
  <c r="S10" i="7"/>
  <c r="S11" i="7"/>
  <c r="S39" i="7"/>
  <c r="G53" i="7"/>
  <c r="S25" i="7"/>
  <c r="S19" i="7"/>
  <c r="E53" i="7"/>
  <c r="S30" i="7"/>
  <c r="S4" i="7"/>
  <c r="C53" i="7"/>
  <c r="S49" i="7"/>
  <c r="J12" i="7"/>
  <c r="S13" i="7"/>
  <c r="S43" i="7"/>
  <c r="J53" i="7" l="1"/>
  <c r="S22" i="7"/>
  <c r="S52" i="7"/>
  <c r="R53" i="7"/>
  <c r="S32" i="7"/>
  <c r="N53" i="7"/>
  <c r="S42" i="7"/>
  <c r="S12" i="7"/>
  <c r="S53" i="7" l="1"/>
</calcChain>
</file>

<file path=xl/sharedStrings.xml><?xml version="1.0" encoding="utf-8"?>
<sst xmlns="http://schemas.openxmlformats.org/spreadsheetml/2006/main" count="116" uniqueCount="116">
  <si>
    <t>№ Бригады</t>
  </si>
  <si>
    <t>ОМС-1</t>
  </si>
  <si>
    <t>ОМС-2</t>
  </si>
  <si>
    <t>ОМС-3</t>
  </si>
  <si>
    <t>ОМС-4</t>
  </si>
  <si>
    <t>ОМС-5</t>
  </si>
  <si>
    <t>ОМС-6</t>
  </si>
  <si>
    <t>ОМС-7</t>
  </si>
  <si>
    <t>ОМС-8</t>
  </si>
  <si>
    <t>ОМС-9</t>
  </si>
  <si>
    <t>М. Төлегенов</t>
  </si>
  <si>
    <t>ОМС-10</t>
  </si>
  <si>
    <t>ОМС-11</t>
  </si>
  <si>
    <t>ОМС-12</t>
  </si>
  <si>
    <t>ОМС-35</t>
  </si>
  <si>
    <t>ОМС-36</t>
  </si>
  <si>
    <t>ОМС-13</t>
  </si>
  <si>
    <t>ОМС-14</t>
  </si>
  <si>
    <t>ОМС-15</t>
  </si>
  <si>
    <t>ОМС-16</t>
  </si>
  <si>
    <t>ОМС-17</t>
  </si>
  <si>
    <t>ОМС-18</t>
  </si>
  <si>
    <t>ОМС-19</t>
  </si>
  <si>
    <t>ОМС-20</t>
  </si>
  <si>
    <t>ОМС-21</t>
  </si>
  <si>
    <t>ОМС-22</t>
  </si>
  <si>
    <t>ОМС-23</t>
  </si>
  <si>
    <t>ОМС-24</t>
  </si>
  <si>
    <t>ОМС-25</t>
  </si>
  <si>
    <t>ОМС-26</t>
  </si>
  <si>
    <t>ОМС-27</t>
  </si>
  <si>
    <t>ОМС-28</t>
  </si>
  <si>
    <t>ОМС-29</t>
  </si>
  <si>
    <t>ОМС-30</t>
  </si>
  <si>
    <t>ОМС-31</t>
  </si>
  <si>
    <t>ОМС-32</t>
  </si>
  <si>
    <t>ОМС-33</t>
  </si>
  <si>
    <t>ОМС-34</t>
  </si>
  <si>
    <t>ОМС-37</t>
  </si>
  <si>
    <t>ОМС-38</t>
  </si>
  <si>
    <t>ОМС-39</t>
  </si>
  <si>
    <t>ОМС-40</t>
  </si>
  <si>
    <t>ОМС-41</t>
  </si>
  <si>
    <t>ОМС-42</t>
  </si>
  <si>
    <t>ОМС-43</t>
  </si>
  <si>
    <t>ОМС-44</t>
  </si>
  <si>
    <t>ОМС-45</t>
  </si>
  <si>
    <t>Всего:</t>
  </si>
  <si>
    <t>Шебер</t>
  </si>
  <si>
    <t>Қаңтар</t>
  </si>
  <si>
    <t>Ақпан</t>
  </si>
  <si>
    <t>Наурыз</t>
  </si>
  <si>
    <t>І-тоқсан</t>
  </si>
  <si>
    <t>Сәуір</t>
  </si>
  <si>
    <t>Мамыр</t>
  </si>
  <si>
    <t>Маусым</t>
  </si>
  <si>
    <t>ІІ-тоқсан</t>
  </si>
  <si>
    <t>Шілде</t>
  </si>
  <si>
    <t>Тамыз</t>
  </si>
  <si>
    <t>Қыркүйек</t>
  </si>
  <si>
    <t>ІІІ-тоқсан</t>
  </si>
  <si>
    <t>Қазан</t>
  </si>
  <si>
    <t>Қараша</t>
  </si>
  <si>
    <t>Желтоқсан</t>
  </si>
  <si>
    <t>ІV-тоқсан</t>
  </si>
  <si>
    <t>Х. Сагыев</t>
  </si>
  <si>
    <t>А. Айсабаев</t>
  </si>
  <si>
    <t>Нұрмұханов Н.</t>
  </si>
  <si>
    <t>Ізімбергенов Б.</t>
  </si>
  <si>
    <t>Мыңбаев М.</t>
  </si>
  <si>
    <t>Толепов К</t>
  </si>
  <si>
    <t>Жұмалиев А.</t>
  </si>
  <si>
    <t>Баймағанбетов Ә.</t>
  </si>
  <si>
    <t>Оразалиев Ж.</t>
  </si>
  <si>
    <t>Курашов Г.</t>
  </si>
  <si>
    <t>Калавов Б.</t>
  </si>
  <si>
    <t>Турумбаев Н.</t>
  </si>
  <si>
    <t>Бисенов Н.</t>
  </si>
  <si>
    <t>Абылғазиев Қ.</t>
  </si>
  <si>
    <t>Мурабеков С.</t>
  </si>
  <si>
    <t>Акимов П.</t>
  </si>
  <si>
    <t>Абдуллаев Д.</t>
  </si>
  <si>
    <t>Хангереев Д.</t>
  </si>
  <si>
    <t>Сеидов О.</t>
  </si>
  <si>
    <t>Бекжанов Т.</t>
  </si>
  <si>
    <t>Ниетбаев М.</t>
  </si>
  <si>
    <t>Дикаев А.</t>
  </si>
  <si>
    <t>Бисенов Ж.</t>
  </si>
  <si>
    <t>Дауылбаев Е</t>
  </si>
  <si>
    <t>Конкиев Ғ.</t>
  </si>
  <si>
    <t>Батышов Ә.</t>
  </si>
  <si>
    <t>Джоламанов Д.</t>
  </si>
  <si>
    <t>Усербаев Е.</t>
  </si>
  <si>
    <t>Бажиков Е.</t>
  </si>
  <si>
    <t>Алтанов Қ.</t>
  </si>
  <si>
    <t>Нұрбергенов Б.</t>
  </si>
  <si>
    <t>Жаңатаев О.</t>
  </si>
  <si>
    <t>Баймағанбетов Р.</t>
  </si>
  <si>
    <t>Нуржубаев А.</t>
  </si>
  <si>
    <t>Құлатаев Қ.</t>
  </si>
  <si>
    <t>Ходжа-Ахметов Т.</t>
  </si>
  <si>
    <t>Зейін С.</t>
  </si>
  <si>
    <t>Құлқаев Е.</t>
  </si>
  <si>
    <t>Рыскелдиев К.</t>
  </si>
  <si>
    <t>Конкиев Е.</t>
  </si>
  <si>
    <t>Утебергенов А</t>
  </si>
  <si>
    <t>Ақжігітов Ж.</t>
  </si>
  <si>
    <t>Ермағанбетов С.</t>
  </si>
  <si>
    <t>Турғанбаев И.</t>
  </si>
  <si>
    <t>Жоспар 2026г</t>
  </si>
  <si>
    <t>Цех-1</t>
  </si>
  <si>
    <t>Цех-2</t>
  </si>
  <si>
    <t>Цех-3</t>
  </si>
  <si>
    <t>Цех-4</t>
  </si>
  <si>
    <t>Цех-5</t>
  </si>
  <si>
    <t>2026 Жоспар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</si>
</sst>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i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Helv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C0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4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1" applyFont="1" applyFill="1" applyAlignment="1">
      <alignment horizontal="left" vertical="center" textRotation="90" wrapText="1"/>
    </xf>
    <xf numFmtId="0" fontId="1" fillId="2" borderId="0" xfId="2" applyFont="1" applyFill="1" applyAlignment="1">
      <alignment horizontal="left" vertical="center" textRotation="90"/>
    </xf>
    <xf numFmtId="0" fontId="2" fillId="2" borderId="0" xfId="2" applyFont="1" applyFill="1" applyAlignment="1">
      <alignment horizontal="left" vertical="center" textRotation="90"/>
    </xf>
    <xf numFmtId="0" fontId="2" fillId="2" borderId="0" xfId="2" applyFont="1" applyFill="1" applyAlignment="1">
      <alignment vertical="center" textRotation="90" wrapText="1"/>
    </xf>
    <xf numFmtId="0" fontId="2" fillId="2" borderId="0" xfId="2" applyFont="1" applyFill="1" applyAlignment="1">
      <alignment horizontal="left" vertical="center" textRotation="90" wrapText="1"/>
    </xf>
    <xf numFmtId="0" fontId="2" fillId="2" borderId="0" xfId="0" applyFont="1" applyFill="1" applyAlignment="1">
      <alignment horizontal="center" vertical="center" textRotation="90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textRotation="90" wrapText="1"/>
    </xf>
    <xf numFmtId="0" fontId="5" fillId="2" borderId="10" xfId="0" applyFont="1" applyFill="1" applyBorder="1" applyAlignment="1">
      <alignment horizontal="center" vertical="center" textRotation="90" wrapText="1"/>
    </xf>
    <xf numFmtId="0" fontId="5" fillId="2" borderId="1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 wrapText="1"/>
    </xf>
    <xf numFmtId="0" fontId="5" fillId="0" borderId="10" xfId="0" applyFont="1" applyFill="1" applyBorder="1" applyAlignment="1">
      <alignment horizontal="center" vertical="center" textRotation="90" wrapText="1"/>
    </xf>
    <xf numFmtId="0" fontId="8" fillId="0" borderId="10" xfId="0" applyFont="1" applyFill="1" applyBorder="1" applyAlignment="1">
      <alignment horizontal="center" vertical="center" textRotation="90" wrapText="1"/>
    </xf>
    <xf numFmtId="0" fontId="8" fillId="0" borderId="11" xfId="0" applyFont="1" applyFill="1" applyBorder="1" applyAlignment="1">
      <alignment horizontal="center" vertical="center" textRotation="90" wrapText="1"/>
    </xf>
    <xf numFmtId="0" fontId="3" fillId="0" borderId="13" xfId="0" applyFont="1" applyFill="1" applyBorder="1" applyAlignment="1">
      <alignment horizontal="center" vertical="center" textRotation="90" wrapText="1"/>
    </xf>
    <xf numFmtId="0" fontId="6" fillId="0" borderId="16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1" fontId="2" fillId="0" borderId="17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" fontId="2" fillId="0" borderId="4" xfId="0" applyNumberFormat="1" applyFont="1" applyFill="1" applyBorder="1" applyAlignment="1">
      <alignment horizontal="center" vertical="center" wrapText="1"/>
    </xf>
    <xf numFmtId="1" fontId="2" fillId="0" borderId="8" xfId="0" applyNumberFormat="1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1" fontId="3" fillId="0" borderId="13" xfId="0" applyNumberFormat="1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1" fontId="5" fillId="0" borderId="9" xfId="0" applyNumberFormat="1" applyFont="1" applyFill="1" applyBorder="1" applyAlignment="1">
      <alignment horizontal="center" vertical="center" wrapText="1"/>
    </xf>
    <xf numFmtId="1" fontId="8" fillId="0" borderId="9" xfId="0" applyNumberFormat="1" applyFont="1" applyFill="1" applyBorder="1" applyAlignment="1">
      <alignment horizontal="center" vertical="center" wrapText="1"/>
    </xf>
    <xf numFmtId="1" fontId="3" fillId="0" borderId="18" xfId="0" applyNumberFormat="1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_Разд3.7.1 - объемы КРС по мес." xfId="2" xr:uid="{35F8C3C3-533E-4C4C-BF52-0CA98816E3CC}"/>
    <cellStyle name="Обычный_Расшифровка КРС 28.12.08 по лотам" xfId="1" xr:uid="{1829AB55-40B3-4C1E-9853-D6935FE73C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CCF0-2B1B-44B6-BD62-97D53B2CFAD0}">
  <sheetPr>
    <pageSetUpPr fitToPage="1"/>
  </sheetPr>
  <dimension ref="A1:AM53"/>
  <sheetViews>
    <sheetView tabSelected="1" zoomScaleNormal="100" zoomScaleSheetLayoutView="100" workbookViewId="0">
      <pane ySplit="2" topLeftCell="A3" activePane="bottomLeft" state="frozen"/>
      <selection pane="bottomLeft" activeCell="K5" sqref="K5"/>
    </sheetView>
  </sheetViews>
  <sheetFormatPr defaultRowHeight="15.75" x14ac:dyDescent="0.25"/>
  <cols>
    <col min="1" max="1" width="10.140625" style="1" customWidth="1"/>
    <col min="2" max="2" width="18.85546875" style="1" customWidth="1"/>
    <col min="3" max="3" width="5" style="1" customWidth="1"/>
    <col min="4" max="4" width="6" style="1" customWidth="1"/>
    <col min="5" max="5" width="5.85546875" style="1" customWidth="1"/>
    <col min="6" max="6" width="4.7109375" style="26" customWidth="1"/>
    <col min="7" max="9" width="4.7109375" style="1" customWidth="1"/>
    <col min="10" max="10" width="4.7109375" style="26" customWidth="1"/>
    <col min="11" max="11" width="5.140625" style="1" customWidth="1"/>
    <col min="12" max="13" width="4.7109375" style="1" customWidth="1"/>
    <col min="14" max="14" width="4.7109375" style="26" customWidth="1"/>
    <col min="15" max="17" width="4.7109375" style="1" customWidth="1"/>
    <col min="18" max="18" width="4.7109375" style="26" customWidth="1"/>
    <col min="19" max="19" width="5.5703125" style="1" customWidth="1"/>
    <col min="21" max="24" width="9.140625" style="1"/>
    <col min="25" max="25" width="13.140625" style="1" bestFit="1" customWidth="1"/>
    <col min="26" max="16384" width="9.140625" style="1"/>
  </cols>
  <sheetData>
    <row r="1" spans="1:39" ht="16.5" customHeight="1" thickBot="1" x14ac:dyDescent="0.3">
      <c r="A1" s="25" t="s">
        <v>115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7"/>
    </row>
    <row r="2" spans="1:39" s="7" customFormat="1" ht="81" thickBot="1" x14ac:dyDescent="0.3">
      <c r="A2" s="21" t="s">
        <v>0</v>
      </c>
      <c r="B2" s="22" t="s">
        <v>48</v>
      </c>
      <c r="C2" s="28" t="s">
        <v>49</v>
      </c>
      <c r="D2" s="28" t="s">
        <v>50</v>
      </c>
      <c r="E2" s="28" t="s">
        <v>51</v>
      </c>
      <c r="F2" s="29" t="s">
        <v>52</v>
      </c>
      <c r="G2" s="28" t="s">
        <v>53</v>
      </c>
      <c r="H2" s="28" t="s">
        <v>54</v>
      </c>
      <c r="I2" s="28" t="s">
        <v>55</v>
      </c>
      <c r="J2" s="29" t="s">
        <v>56</v>
      </c>
      <c r="K2" s="28" t="s">
        <v>57</v>
      </c>
      <c r="L2" s="28" t="s">
        <v>58</v>
      </c>
      <c r="M2" s="28" t="s">
        <v>59</v>
      </c>
      <c r="N2" s="29" t="s">
        <v>60</v>
      </c>
      <c r="O2" s="28" t="s">
        <v>61</v>
      </c>
      <c r="P2" s="28" t="s">
        <v>62</v>
      </c>
      <c r="Q2" s="28" t="s">
        <v>63</v>
      </c>
      <c r="R2" s="30" t="s">
        <v>64</v>
      </c>
      <c r="S2" s="31" t="s">
        <v>109</v>
      </c>
      <c r="U2" s="3"/>
      <c r="V2" s="3"/>
      <c r="W2" s="3"/>
      <c r="X2" s="4"/>
      <c r="Y2" s="2"/>
      <c r="Z2" s="2"/>
      <c r="AA2" s="2"/>
      <c r="AB2" s="2"/>
      <c r="AC2" s="2"/>
      <c r="AD2" s="4"/>
      <c r="AE2" s="5"/>
      <c r="AF2" s="5"/>
      <c r="AG2" s="4"/>
      <c r="AH2" s="4"/>
      <c r="AI2" s="4"/>
      <c r="AJ2" s="6"/>
      <c r="AK2" s="4"/>
      <c r="AL2" s="6"/>
      <c r="AM2" s="4"/>
    </row>
    <row r="3" spans="1:39" x14ac:dyDescent="0.25">
      <c r="A3" s="13" t="s">
        <v>1</v>
      </c>
      <c r="B3" s="15" t="s">
        <v>68</v>
      </c>
      <c r="C3" s="32">
        <v>1</v>
      </c>
      <c r="D3" s="32">
        <v>2</v>
      </c>
      <c r="E3" s="32">
        <v>1</v>
      </c>
      <c r="F3" s="33">
        <f>C3+D3+E3</f>
        <v>4</v>
      </c>
      <c r="G3" s="32">
        <v>1</v>
      </c>
      <c r="H3" s="32">
        <v>2</v>
      </c>
      <c r="I3" s="32">
        <v>1</v>
      </c>
      <c r="J3" s="33">
        <f>G3+H3+I3</f>
        <v>4</v>
      </c>
      <c r="K3" s="32">
        <v>2</v>
      </c>
      <c r="L3" s="32">
        <v>1</v>
      </c>
      <c r="M3" s="32">
        <v>1</v>
      </c>
      <c r="N3" s="33">
        <f>K3+L3+M3</f>
        <v>4</v>
      </c>
      <c r="O3" s="32">
        <v>2</v>
      </c>
      <c r="P3" s="32">
        <v>1</v>
      </c>
      <c r="Q3" s="32">
        <v>1</v>
      </c>
      <c r="R3" s="33">
        <f>O3+P3+Q3</f>
        <v>4</v>
      </c>
      <c r="S3" s="34">
        <f>F3+J3+N3+R3</f>
        <v>16</v>
      </c>
    </row>
    <row r="4" spans="1:39" x14ac:dyDescent="0.25">
      <c r="A4" s="8" t="s">
        <v>2</v>
      </c>
      <c r="B4" s="9" t="s">
        <v>69</v>
      </c>
      <c r="C4" s="32">
        <v>2</v>
      </c>
      <c r="D4" s="35">
        <v>1</v>
      </c>
      <c r="E4" s="35">
        <v>1</v>
      </c>
      <c r="F4" s="33">
        <f t="shared" ref="F4:F31" si="0">C4+D4+E4</f>
        <v>4</v>
      </c>
      <c r="G4" s="32">
        <v>1</v>
      </c>
      <c r="H4" s="32">
        <v>2</v>
      </c>
      <c r="I4" s="35">
        <v>1</v>
      </c>
      <c r="J4" s="33">
        <f t="shared" ref="J4:J51" si="1">G4+H4+I4</f>
        <v>4</v>
      </c>
      <c r="K4" s="35">
        <v>1</v>
      </c>
      <c r="L4" s="35">
        <v>1</v>
      </c>
      <c r="M4" s="35">
        <v>2</v>
      </c>
      <c r="N4" s="33">
        <f t="shared" ref="N4:N11" si="2">K4+L4+M4</f>
        <v>4</v>
      </c>
      <c r="O4" s="35">
        <v>1</v>
      </c>
      <c r="P4" s="35">
        <v>2</v>
      </c>
      <c r="Q4" s="35">
        <v>1</v>
      </c>
      <c r="R4" s="33">
        <f t="shared" ref="R4:R11" si="3">O4+P4+Q4</f>
        <v>4</v>
      </c>
      <c r="S4" s="36">
        <f>F4+J4+N4+R4</f>
        <v>16</v>
      </c>
    </row>
    <row r="5" spans="1:39" ht="18.75" customHeight="1" x14ac:dyDescent="0.25">
      <c r="A5" s="8" t="s">
        <v>3</v>
      </c>
      <c r="B5" s="9" t="s">
        <v>70</v>
      </c>
      <c r="C5" s="32">
        <v>1</v>
      </c>
      <c r="D5" s="35">
        <v>1</v>
      </c>
      <c r="E5" s="35">
        <v>2</v>
      </c>
      <c r="F5" s="33">
        <f t="shared" si="0"/>
        <v>4</v>
      </c>
      <c r="G5" s="32">
        <v>2</v>
      </c>
      <c r="H5" s="32">
        <v>1</v>
      </c>
      <c r="I5" s="35">
        <v>1</v>
      </c>
      <c r="J5" s="33">
        <f t="shared" si="1"/>
        <v>4</v>
      </c>
      <c r="K5" s="35">
        <v>1</v>
      </c>
      <c r="L5" s="35">
        <v>1</v>
      </c>
      <c r="M5" s="35">
        <v>2</v>
      </c>
      <c r="N5" s="33">
        <f t="shared" si="2"/>
        <v>4</v>
      </c>
      <c r="O5" s="35">
        <v>1</v>
      </c>
      <c r="P5" s="35">
        <v>2</v>
      </c>
      <c r="Q5" s="35">
        <v>1</v>
      </c>
      <c r="R5" s="33">
        <f t="shared" si="3"/>
        <v>4</v>
      </c>
      <c r="S5" s="36">
        <f>F5+J5+N5+R5</f>
        <v>16</v>
      </c>
    </row>
    <row r="6" spans="1:39" x14ac:dyDescent="0.25">
      <c r="A6" s="8" t="s">
        <v>4</v>
      </c>
      <c r="B6" s="9" t="s">
        <v>71</v>
      </c>
      <c r="C6" s="32">
        <v>1</v>
      </c>
      <c r="D6" s="35">
        <v>2</v>
      </c>
      <c r="E6" s="35">
        <v>1</v>
      </c>
      <c r="F6" s="33">
        <f t="shared" si="0"/>
        <v>4</v>
      </c>
      <c r="G6" s="32">
        <v>1</v>
      </c>
      <c r="H6" s="32">
        <v>1</v>
      </c>
      <c r="I6" s="35">
        <v>2</v>
      </c>
      <c r="J6" s="33">
        <f t="shared" si="1"/>
        <v>4</v>
      </c>
      <c r="K6" s="35">
        <v>1</v>
      </c>
      <c r="L6" s="35">
        <v>2</v>
      </c>
      <c r="M6" s="35">
        <v>1</v>
      </c>
      <c r="N6" s="33">
        <f t="shared" si="2"/>
        <v>4</v>
      </c>
      <c r="O6" s="35">
        <v>2</v>
      </c>
      <c r="P6" s="35">
        <v>1</v>
      </c>
      <c r="Q6" s="35">
        <v>1</v>
      </c>
      <c r="R6" s="33">
        <f t="shared" si="3"/>
        <v>4</v>
      </c>
      <c r="S6" s="36">
        <f>F6+J6+N6+R6</f>
        <v>16</v>
      </c>
    </row>
    <row r="7" spans="1:39" x14ac:dyDescent="0.25">
      <c r="A7" s="8" t="s">
        <v>5</v>
      </c>
      <c r="B7" s="9" t="s">
        <v>107</v>
      </c>
      <c r="C7" s="32">
        <v>2</v>
      </c>
      <c r="D7" s="35">
        <v>1</v>
      </c>
      <c r="E7" s="35">
        <v>1</v>
      </c>
      <c r="F7" s="33">
        <f t="shared" si="0"/>
        <v>4</v>
      </c>
      <c r="G7" s="32">
        <v>2</v>
      </c>
      <c r="H7" s="32">
        <v>1</v>
      </c>
      <c r="I7" s="35">
        <v>1</v>
      </c>
      <c r="J7" s="33">
        <f t="shared" si="1"/>
        <v>4</v>
      </c>
      <c r="K7" s="35">
        <v>2</v>
      </c>
      <c r="L7" s="35">
        <v>1</v>
      </c>
      <c r="M7" s="35">
        <v>1</v>
      </c>
      <c r="N7" s="33">
        <f t="shared" si="2"/>
        <v>4</v>
      </c>
      <c r="O7" s="35">
        <v>1</v>
      </c>
      <c r="P7" s="35">
        <v>1</v>
      </c>
      <c r="Q7" s="35">
        <v>2</v>
      </c>
      <c r="R7" s="33">
        <f t="shared" si="3"/>
        <v>4</v>
      </c>
      <c r="S7" s="36">
        <f>F7+J7+N7+R7</f>
        <v>16</v>
      </c>
    </row>
    <row r="8" spans="1:39" x14ac:dyDescent="0.25">
      <c r="A8" s="8" t="s">
        <v>6</v>
      </c>
      <c r="B8" s="24" t="s">
        <v>108</v>
      </c>
      <c r="C8" s="32">
        <v>1</v>
      </c>
      <c r="D8" s="35">
        <v>1</v>
      </c>
      <c r="E8" s="35">
        <v>1</v>
      </c>
      <c r="F8" s="33">
        <f t="shared" si="0"/>
        <v>3</v>
      </c>
      <c r="G8" s="32">
        <v>2</v>
      </c>
      <c r="H8" s="32">
        <v>1</v>
      </c>
      <c r="I8" s="35">
        <v>1</v>
      </c>
      <c r="J8" s="33">
        <f t="shared" si="1"/>
        <v>4</v>
      </c>
      <c r="K8" s="35">
        <v>1</v>
      </c>
      <c r="L8" s="35">
        <v>2</v>
      </c>
      <c r="M8" s="35">
        <v>1</v>
      </c>
      <c r="N8" s="33">
        <f t="shared" si="2"/>
        <v>4</v>
      </c>
      <c r="O8" s="35">
        <v>1</v>
      </c>
      <c r="P8" s="35">
        <v>2</v>
      </c>
      <c r="Q8" s="35">
        <v>1</v>
      </c>
      <c r="R8" s="33">
        <f t="shared" si="3"/>
        <v>4</v>
      </c>
      <c r="S8" s="36">
        <f>F8+J8+N8+R8</f>
        <v>15</v>
      </c>
    </row>
    <row r="9" spans="1:39" x14ac:dyDescent="0.25">
      <c r="A9" s="8" t="s">
        <v>7</v>
      </c>
      <c r="B9" s="9" t="s">
        <v>72</v>
      </c>
      <c r="C9" s="32">
        <v>2</v>
      </c>
      <c r="D9" s="35">
        <v>1</v>
      </c>
      <c r="E9" s="35">
        <v>1</v>
      </c>
      <c r="F9" s="33">
        <f t="shared" si="0"/>
        <v>4</v>
      </c>
      <c r="G9" s="32">
        <v>1</v>
      </c>
      <c r="H9" s="32">
        <v>1</v>
      </c>
      <c r="I9" s="35">
        <v>2</v>
      </c>
      <c r="J9" s="33">
        <f t="shared" si="1"/>
        <v>4</v>
      </c>
      <c r="K9" s="35">
        <v>1</v>
      </c>
      <c r="L9" s="35">
        <v>1</v>
      </c>
      <c r="M9" s="35">
        <v>1</v>
      </c>
      <c r="N9" s="33">
        <f t="shared" si="2"/>
        <v>3</v>
      </c>
      <c r="O9" s="35">
        <v>1</v>
      </c>
      <c r="P9" s="35">
        <v>2</v>
      </c>
      <c r="Q9" s="35">
        <v>1</v>
      </c>
      <c r="R9" s="33">
        <f t="shared" si="3"/>
        <v>4</v>
      </c>
      <c r="S9" s="36">
        <f>F9+J9+N9+R9</f>
        <v>15</v>
      </c>
    </row>
    <row r="10" spans="1:39" ht="15.75" customHeight="1" x14ac:dyDescent="0.25">
      <c r="A10" s="8" t="s">
        <v>8</v>
      </c>
      <c r="B10" s="9" t="s">
        <v>73</v>
      </c>
      <c r="C10" s="32">
        <v>1</v>
      </c>
      <c r="D10" s="35">
        <v>1</v>
      </c>
      <c r="E10" s="35">
        <v>2</v>
      </c>
      <c r="F10" s="33">
        <f t="shared" si="0"/>
        <v>4</v>
      </c>
      <c r="G10" s="32">
        <v>1</v>
      </c>
      <c r="H10" s="32">
        <v>2</v>
      </c>
      <c r="I10" s="35">
        <v>1</v>
      </c>
      <c r="J10" s="33">
        <f t="shared" si="1"/>
        <v>4</v>
      </c>
      <c r="K10" s="35">
        <v>1</v>
      </c>
      <c r="L10" s="35">
        <v>2</v>
      </c>
      <c r="M10" s="35">
        <v>1</v>
      </c>
      <c r="N10" s="33">
        <f t="shared" si="2"/>
        <v>4</v>
      </c>
      <c r="O10" s="35">
        <v>2</v>
      </c>
      <c r="P10" s="35">
        <v>1</v>
      </c>
      <c r="Q10" s="35">
        <v>1</v>
      </c>
      <c r="R10" s="33">
        <f t="shared" si="3"/>
        <v>4</v>
      </c>
      <c r="S10" s="36">
        <f>F10+J10+N10+R10</f>
        <v>16</v>
      </c>
    </row>
    <row r="11" spans="1:39" ht="16.5" thickBot="1" x14ac:dyDescent="0.3">
      <c r="A11" s="8" t="s">
        <v>9</v>
      </c>
      <c r="B11" s="9" t="s">
        <v>10</v>
      </c>
      <c r="C11" s="32">
        <v>1</v>
      </c>
      <c r="D11" s="35">
        <v>1</v>
      </c>
      <c r="E11" s="35">
        <v>2</v>
      </c>
      <c r="F11" s="33">
        <f t="shared" si="0"/>
        <v>4</v>
      </c>
      <c r="G11" s="32">
        <v>1</v>
      </c>
      <c r="H11" s="32">
        <v>1</v>
      </c>
      <c r="I11" s="35">
        <v>1</v>
      </c>
      <c r="J11" s="33">
        <f t="shared" si="1"/>
        <v>3</v>
      </c>
      <c r="K11" s="35">
        <v>2</v>
      </c>
      <c r="L11" s="35">
        <v>1</v>
      </c>
      <c r="M11" s="35">
        <v>1</v>
      </c>
      <c r="N11" s="33">
        <f t="shared" si="2"/>
        <v>4</v>
      </c>
      <c r="O11" s="35">
        <v>1</v>
      </c>
      <c r="P11" s="35">
        <v>1</v>
      </c>
      <c r="Q11" s="35">
        <v>2</v>
      </c>
      <c r="R11" s="33">
        <f t="shared" si="3"/>
        <v>4</v>
      </c>
      <c r="S11" s="37">
        <f>F11+J11+N11+R11</f>
        <v>15</v>
      </c>
    </row>
    <row r="12" spans="1:39" ht="16.5" customHeight="1" thickBot="1" x14ac:dyDescent="0.3">
      <c r="A12" s="12" t="s">
        <v>110</v>
      </c>
      <c r="B12" s="12"/>
      <c r="C12" s="38">
        <f>SUM(C3:C11)</f>
        <v>12</v>
      </c>
      <c r="D12" s="38">
        <f>SUM(D3:D11)</f>
        <v>11</v>
      </c>
      <c r="E12" s="38">
        <f t="shared" ref="E12" si="4">SUM(E3:E11)</f>
        <v>12</v>
      </c>
      <c r="F12" s="39">
        <f>SUM(F3:F11)</f>
        <v>35</v>
      </c>
      <c r="G12" s="38">
        <f>SUM(G3:G11)</f>
        <v>12</v>
      </c>
      <c r="H12" s="38">
        <f>SUM(H3:H11)</f>
        <v>12</v>
      </c>
      <c r="I12" s="38">
        <f>SUM(I3:I11)</f>
        <v>11</v>
      </c>
      <c r="J12" s="39">
        <f t="shared" ref="J12:R12" si="5">SUM(J3:J11)</f>
        <v>35</v>
      </c>
      <c r="K12" s="38">
        <f t="shared" si="5"/>
        <v>12</v>
      </c>
      <c r="L12" s="38">
        <f>SUM(L3:L11)</f>
        <v>12</v>
      </c>
      <c r="M12" s="38">
        <f t="shared" si="5"/>
        <v>11</v>
      </c>
      <c r="N12" s="39">
        <f t="shared" si="5"/>
        <v>35</v>
      </c>
      <c r="O12" s="38">
        <f>SUM(O3:O11)</f>
        <v>12</v>
      </c>
      <c r="P12" s="38">
        <f t="shared" si="5"/>
        <v>13</v>
      </c>
      <c r="Q12" s="38">
        <f>SUM(Q3:Q11)</f>
        <v>11</v>
      </c>
      <c r="R12" s="39">
        <f t="shared" si="5"/>
        <v>36</v>
      </c>
      <c r="S12" s="40">
        <f>F12+J12+N12+R12</f>
        <v>141</v>
      </c>
    </row>
    <row r="13" spans="1:39" ht="19.5" customHeight="1" x14ac:dyDescent="0.25">
      <c r="A13" s="13" t="s">
        <v>16</v>
      </c>
      <c r="B13" s="14" t="s">
        <v>74</v>
      </c>
      <c r="C13" s="32">
        <v>1</v>
      </c>
      <c r="D13" s="32">
        <v>1</v>
      </c>
      <c r="E13" s="35">
        <v>2</v>
      </c>
      <c r="F13" s="33">
        <f t="shared" si="0"/>
        <v>4</v>
      </c>
      <c r="G13" s="32">
        <v>1</v>
      </c>
      <c r="H13" s="35">
        <v>1</v>
      </c>
      <c r="I13" s="35">
        <v>2</v>
      </c>
      <c r="J13" s="33">
        <f t="shared" si="1"/>
        <v>4</v>
      </c>
      <c r="K13" s="35">
        <v>1</v>
      </c>
      <c r="L13" s="35">
        <v>1</v>
      </c>
      <c r="M13" s="35">
        <v>1</v>
      </c>
      <c r="N13" s="33">
        <f>K13+L13+M13</f>
        <v>3</v>
      </c>
      <c r="O13" s="35">
        <v>2</v>
      </c>
      <c r="P13" s="35">
        <v>1</v>
      </c>
      <c r="Q13" s="35">
        <v>1</v>
      </c>
      <c r="R13" s="33">
        <f>O13+P13+Q13</f>
        <v>4</v>
      </c>
      <c r="S13" s="34">
        <f>F13+J13+N13+R13</f>
        <v>15</v>
      </c>
    </row>
    <row r="14" spans="1:39" ht="17.25" customHeight="1" x14ac:dyDescent="0.25">
      <c r="A14" s="8" t="s">
        <v>17</v>
      </c>
      <c r="B14" s="16" t="s">
        <v>75</v>
      </c>
      <c r="C14" s="32">
        <v>2</v>
      </c>
      <c r="D14" s="35">
        <v>1</v>
      </c>
      <c r="E14" s="35">
        <v>1</v>
      </c>
      <c r="F14" s="33">
        <f t="shared" si="0"/>
        <v>4</v>
      </c>
      <c r="G14" s="32">
        <v>2</v>
      </c>
      <c r="H14" s="35">
        <v>1</v>
      </c>
      <c r="I14" s="35">
        <v>1</v>
      </c>
      <c r="J14" s="33">
        <f t="shared" si="1"/>
        <v>4</v>
      </c>
      <c r="K14" s="35">
        <v>1</v>
      </c>
      <c r="L14" s="35">
        <v>1</v>
      </c>
      <c r="M14" s="35">
        <v>2</v>
      </c>
      <c r="N14" s="33">
        <f t="shared" ref="N14:N51" si="6">K14+L14+M14</f>
        <v>4</v>
      </c>
      <c r="O14" s="35">
        <v>1</v>
      </c>
      <c r="P14" s="35">
        <v>1</v>
      </c>
      <c r="Q14" s="35">
        <v>2</v>
      </c>
      <c r="R14" s="33">
        <f t="shared" ref="R14:R21" si="7">O14+P14+Q14</f>
        <v>4</v>
      </c>
      <c r="S14" s="36">
        <f>F14+J14+N14+R14</f>
        <v>16</v>
      </c>
    </row>
    <row r="15" spans="1:39" x14ac:dyDescent="0.25">
      <c r="A15" s="8" t="s">
        <v>18</v>
      </c>
      <c r="B15" s="16" t="s">
        <v>76</v>
      </c>
      <c r="C15" s="32">
        <v>1</v>
      </c>
      <c r="D15" s="35">
        <v>1</v>
      </c>
      <c r="E15" s="35">
        <v>2</v>
      </c>
      <c r="F15" s="33">
        <f t="shared" si="0"/>
        <v>4</v>
      </c>
      <c r="G15" s="32">
        <v>1</v>
      </c>
      <c r="H15" s="35">
        <v>1</v>
      </c>
      <c r="I15" s="35">
        <v>2</v>
      </c>
      <c r="J15" s="33">
        <f t="shared" si="1"/>
        <v>4</v>
      </c>
      <c r="K15" s="35">
        <v>1</v>
      </c>
      <c r="L15" s="35">
        <v>2</v>
      </c>
      <c r="M15" s="35">
        <v>1</v>
      </c>
      <c r="N15" s="33">
        <f t="shared" si="6"/>
        <v>4</v>
      </c>
      <c r="O15" s="35">
        <v>1</v>
      </c>
      <c r="P15" s="35">
        <v>1</v>
      </c>
      <c r="Q15" s="35">
        <v>1</v>
      </c>
      <c r="R15" s="33">
        <f t="shared" si="7"/>
        <v>3</v>
      </c>
      <c r="S15" s="36">
        <f>F15+J15+N15+R15</f>
        <v>15</v>
      </c>
    </row>
    <row r="16" spans="1:39" x14ac:dyDescent="0.25">
      <c r="A16" s="8" t="s">
        <v>19</v>
      </c>
      <c r="B16" s="16" t="s">
        <v>77</v>
      </c>
      <c r="C16" s="32">
        <v>2</v>
      </c>
      <c r="D16" s="35">
        <v>1</v>
      </c>
      <c r="E16" s="35">
        <v>1</v>
      </c>
      <c r="F16" s="33">
        <f t="shared" si="0"/>
        <v>4</v>
      </c>
      <c r="G16" s="32">
        <v>2</v>
      </c>
      <c r="H16" s="35">
        <v>1</v>
      </c>
      <c r="I16" s="35">
        <v>1</v>
      </c>
      <c r="J16" s="33">
        <f t="shared" si="1"/>
        <v>4</v>
      </c>
      <c r="K16" s="35">
        <v>2</v>
      </c>
      <c r="L16" s="35">
        <v>1</v>
      </c>
      <c r="M16" s="35">
        <v>1</v>
      </c>
      <c r="N16" s="33">
        <f t="shared" si="6"/>
        <v>4</v>
      </c>
      <c r="O16" s="35">
        <v>2</v>
      </c>
      <c r="P16" s="35">
        <v>1</v>
      </c>
      <c r="Q16" s="35">
        <v>1</v>
      </c>
      <c r="R16" s="33">
        <f t="shared" si="7"/>
        <v>4</v>
      </c>
      <c r="S16" s="36">
        <f>F16+J16+N16+R16</f>
        <v>16</v>
      </c>
    </row>
    <row r="17" spans="1:19" x14ac:dyDescent="0.25">
      <c r="A17" s="8" t="s">
        <v>20</v>
      </c>
      <c r="B17" s="16" t="s">
        <v>78</v>
      </c>
      <c r="C17" s="32">
        <v>1</v>
      </c>
      <c r="D17" s="35">
        <v>1</v>
      </c>
      <c r="E17" s="35">
        <v>2</v>
      </c>
      <c r="F17" s="33">
        <f t="shared" si="0"/>
        <v>4</v>
      </c>
      <c r="G17" s="32">
        <v>1</v>
      </c>
      <c r="H17" s="35">
        <v>2</v>
      </c>
      <c r="I17" s="35">
        <v>1</v>
      </c>
      <c r="J17" s="33">
        <f t="shared" si="1"/>
        <v>4</v>
      </c>
      <c r="K17" s="35">
        <v>2</v>
      </c>
      <c r="L17" s="35">
        <v>1</v>
      </c>
      <c r="M17" s="35">
        <v>1</v>
      </c>
      <c r="N17" s="33">
        <f t="shared" si="6"/>
        <v>4</v>
      </c>
      <c r="O17" s="35">
        <v>1</v>
      </c>
      <c r="P17" s="35">
        <v>2</v>
      </c>
      <c r="Q17" s="35">
        <v>1</v>
      </c>
      <c r="R17" s="33">
        <f t="shared" si="7"/>
        <v>4</v>
      </c>
      <c r="S17" s="36">
        <f>F17+J17+N17+R17</f>
        <v>16</v>
      </c>
    </row>
    <row r="18" spans="1:19" x14ac:dyDescent="0.25">
      <c r="A18" s="8" t="s">
        <v>21</v>
      </c>
      <c r="B18" s="16" t="s">
        <v>79</v>
      </c>
      <c r="C18" s="32">
        <v>2</v>
      </c>
      <c r="D18" s="35">
        <v>1</v>
      </c>
      <c r="E18" s="35">
        <v>1</v>
      </c>
      <c r="F18" s="33">
        <f t="shared" si="0"/>
        <v>4</v>
      </c>
      <c r="G18" s="32">
        <v>2</v>
      </c>
      <c r="H18" s="35">
        <v>1</v>
      </c>
      <c r="I18" s="35">
        <v>1</v>
      </c>
      <c r="J18" s="33">
        <f t="shared" si="1"/>
        <v>4</v>
      </c>
      <c r="K18" s="35">
        <v>1</v>
      </c>
      <c r="L18" s="35">
        <v>1</v>
      </c>
      <c r="M18" s="35">
        <v>2</v>
      </c>
      <c r="N18" s="33">
        <f t="shared" si="6"/>
        <v>4</v>
      </c>
      <c r="O18" s="35">
        <v>1</v>
      </c>
      <c r="P18" s="35">
        <v>1</v>
      </c>
      <c r="Q18" s="35">
        <v>2</v>
      </c>
      <c r="R18" s="33">
        <f t="shared" si="7"/>
        <v>4</v>
      </c>
      <c r="S18" s="36">
        <f>F18+J18+N18+R18</f>
        <v>16</v>
      </c>
    </row>
    <row r="19" spans="1:19" x14ac:dyDescent="0.25">
      <c r="A19" s="8" t="s">
        <v>22</v>
      </c>
      <c r="B19" s="16" t="s">
        <v>80</v>
      </c>
      <c r="C19" s="32">
        <v>1</v>
      </c>
      <c r="D19" s="35">
        <v>2</v>
      </c>
      <c r="E19" s="35">
        <v>1</v>
      </c>
      <c r="F19" s="33">
        <f t="shared" si="0"/>
        <v>4</v>
      </c>
      <c r="G19" s="32">
        <v>1</v>
      </c>
      <c r="H19" s="35">
        <v>1</v>
      </c>
      <c r="I19" s="35">
        <v>2</v>
      </c>
      <c r="J19" s="33">
        <f t="shared" si="1"/>
        <v>4</v>
      </c>
      <c r="K19" s="35">
        <v>1</v>
      </c>
      <c r="L19" s="35">
        <v>2</v>
      </c>
      <c r="M19" s="35">
        <v>1</v>
      </c>
      <c r="N19" s="33">
        <f t="shared" si="6"/>
        <v>4</v>
      </c>
      <c r="O19" s="35">
        <v>2</v>
      </c>
      <c r="P19" s="35">
        <v>1</v>
      </c>
      <c r="Q19" s="35">
        <v>1</v>
      </c>
      <c r="R19" s="33">
        <f t="shared" si="7"/>
        <v>4</v>
      </c>
      <c r="S19" s="36">
        <f>F19+J19+N19+R19</f>
        <v>16</v>
      </c>
    </row>
    <row r="20" spans="1:19" x14ac:dyDescent="0.25">
      <c r="A20" s="8" t="s">
        <v>23</v>
      </c>
      <c r="B20" s="16" t="s">
        <v>81</v>
      </c>
      <c r="C20" s="32">
        <v>1</v>
      </c>
      <c r="D20" s="35">
        <v>2</v>
      </c>
      <c r="E20" s="35">
        <v>1</v>
      </c>
      <c r="F20" s="33">
        <f t="shared" si="0"/>
        <v>4</v>
      </c>
      <c r="G20" s="32">
        <v>1</v>
      </c>
      <c r="H20" s="35">
        <v>2</v>
      </c>
      <c r="I20" s="35">
        <v>1</v>
      </c>
      <c r="J20" s="33">
        <f t="shared" si="1"/>
        <v>4</v>
      </c>
      <c r="K20" s="35">
        <v>1</v>
      </c>
      <c r="L20" s="35">
        <v>1</v>
      </c>
      <c r="M20" s="35">
        <v>2</v>
      </c>
      <c r="N20" s="33">
        <f t="shared" si="6"/>
        <v>4</v>
      </c>
      <c r="O20" s="35">
        <v>1</v>
      </c>
      <c r="P20" s="35">
        <v>2</v>
      </c>
      <c r="Q20" s="35">
        <v>1</v>
      </c>
      <c r="R20" s="33">
        <f t="shared" si="7"/>
        <v>4</v>
      </c>
      <c r="S20" s="36">
        <f>F20+J20+N20+R20</f>
        <v>16</v>
      </c>
    </row>
    <row r="21" spans="1:19" ht="16.5" thickBot="1" x14ac:dyDescent="0.3">
      <c r="A21" s="10" t="s">
        <v>24</v>
      </c>
      <c r="B21" s="11" t="s">
        <v>82</v>
      </c>
      <c r="C21" s="32">
        <v>1</v>
      </c>
      <c r="D21" s="41">
        <v>2</v>
      </c>
      <c r="E21" s="41">
        <v>1</v>
      </c>
      <c r="F21" s="33">
        <f t="shared" si="0"/>
        <v>4</v>
      </c>
      <c r="G21" s="32">
        <v>1</v>
      </c>
      <c r="H21" s="41">
        <v>2</v>
      </c>
      <c r="I21" s="41">
        <v>1</v>
      </c>
      <c r="J21" s="33">
        <f t="shared" si="1"/>
        <v>4</v>
      </c>
      <c r="K21" s="41">
        <v>1</v>
      </c>
      <c r="L21" s="41">
        <v>1</v>
      </c>
      <c r="M21" s="41">
        <v>2</v>
      </c>
      <c r="N21" s="33">
        <f t="shared" si="6"/>
        <v>4</v>
      </c>
      <c r="O21" s="41">
        <v>1</v>
      </c>
      <c r="P21" s="41">
        <v>2</v>
      </c>
      <c r="Q21" s="41">
        <v>1</v>
      </c>
      <c r="R21" s="33">
        <f t="shared" si="7"/>
        <v>4</v>
      </c>
      <c r="S21" s="37">
        <f>F21+J21+N21+R21</f>
        <v>16</v>
      </c>
    </row>
    <row r="22" spans="1:19" ht="16.5" thickBot="1" x14ac:dyDescent="0.3">
      <c r="A22" s="12" t="s">
        <v>111</v>
      </c>
      <c r="B22" s="23"/>
      <c r="C22" s="38">
        <f>SUM(C13:C21)</f>
        <v>12</v>
      </c>
      <c r="D22" s="38">
        <f t="shared" ref="D22:R22" si="8">SUM(D13:D21)</f>
        <v>12</v>
      </c>
      <c r="E22" s="38">
        <f t="shared" si="8"/>
        <v>12</v>
      </c>
      <c r="F22" s="39">
        <f t="shared" si="8"/>
        <v>36</v>
      </c>
      <c r="G22" s="38">
        <f>SUM(G13:G21)</f>
        <v>12</v>
      </c>
      <c r="H22" s="38">
        <f t="shared" si="8"/>
        <v>12</v>
      </c>
      <c r="I22" s="38">
        <f t="shared" si="8"/>
        <v>12</v>
      </c>
      <c r="J22" s="39">
        <f t="shared" si="8"/>
        <v>36</v>
      </c>
      <c r="K22" s="38">
        <f t="shared" si="8"/>
        <v>11</v>
      </c>
      <c r="L22" s="38">
        <f>SUM(L13:L21)</f>
        <v>11</v>
      </c>
      <c r="M22" s="38">
        <f t="shared" si="8"/>
        <v>13</v>
      </c>
      <c r="N22" s="39">
        <f t="shared" si="8"/>
        <v>35</v>
      </c>
      <c r="O22" s="38">
        <f t="shared" si="8"/>
        <v>12</v>
      </c>
      <c r="P22" s="38">
        <f>SUM(P13:P21)</f>
        <v>12</v>
      </c>
      <c r="Q22" s="38">
        <f t="shared" si="8"/>
        <v>11</v>
      </c>
      <c r="R22" s="39">
        <f t="shared" si="8"/>
        <v>35</v>
      </c>
      <c r="S22" s="40">
        <f>F22+J22+N22+R22</f>
        <v>142</v>
      </c>
    </row>
    <row r="23" spans="1:19" x14ac:dyDescent="0.25">
      <c r="A23" s="13" t="s">
        <v>25</v>
      </c>
      <c r="B23" s="15" t="s">
        <v>83</v>
      </c>
      <c r="C23" s="32">
        <v>2</v>
      </c>
      <c r="D23" s="32">
        <v>1</v>
      </c>
      <c r="E23" s="32">
        <v>1</v>
      </c>
      <c r="F23" s="33">
        <f t="shared" si="0"/>
        <v>4</v>
      </c>
      <c r="G23" s="32">
        <v>1</v>
      </c>
      <c r="H23" s="32">
        <v>1</v>
      </c>
      <c r="I23" s="32">
        <v>2</v>
      </c>
      <c r="J23" s="33">
        <f t="shared" si="1"/>
        <v>4</v>
      </c>
      <c r="K23" s="32">
        <v>1</v>
      </c>
      <c r="L23" s="32">
        <v>1</v>
      </c>
      <c r="M23" s="32">
        <v>2</v>
      </c>
      <c r="N23" s="33">
        <f t="shared" si="6"/>
        <v>4</v>
      </c>
      <c r="O23" s="32">
        <v>1</v>
      </c>
      <c r="P23" s="32">
        <v>2</v>
      </c>
      <c r="Q23" s="32">
        <v>1</v>
      </c>
      <c r="R23" s="33">
        <f t="shared" ref="R23:R41" si="9">O23+P23+Q23</f>
        <v>4</v>
      </c>
      <c r="S23" s="34">
        <f>F23+J23+N23+R23</f>
        <v>16</v>
      </c>
    </row>
    <row r="24" spans="1:19" x14ac:dyDescent="0.25">
      <c r="A24" s="8" t="s">
        <v>26</v>
      </c>
      <c r="B24" s="16" t="s">
        <v>84</v>
      </c>
      <c r="C24" s="32">
        <v>1</v>
      </c>
      <c r="D24" s="35">
        <v>1</v>
      </c>
      <c r="E24" s="35">
        <v>2</v>
      </c>
      <c r="F24" s="33">
        <f t="shared" si="0"/>
        <v>4</v>
      </c>
      <c r="G24" s="35">
        <v>1</v>
      </c>
      <c r="H24" s="35">
        <v>1</v>
      </c>
      <c r="I24" s="35">
        <v>2</v>
      </c>
      <c r="J24" s="33">
        <f t="shared" si="1"/>
        <v>4</v>
      </c>
      <c r="K24" s="35">
        <v>1</v>
      </c>
      <c r="L24" s="35">
        <v>2</v>
      </c>
      <c r="M24" s="35">
        <v>1</v>
      </c>
      <c r="N24" s="33">
        <f t="shared" si="6"/>
        <v>4</v>
      </c>
      <c r="O24" s="35">
        <v>1</v>
      </c>
      <c r="P24" s="35">
        <v>1</v>
      </c>
      <c r="Q24" s="35">
        <v>2</v>
      </c>
      <c r="R24" s="33">
        <f t="shared" si="9"/>
        <v>4</v>
      </c>
      <c r="S24" s="36">
        <f>F24+J24+N24+R24</f>
        <v>16</v>
      </c>
    </row>
    <row r="25" spans="1:19" x14ac:dyDescent="0.25">
      <c r="A25" s="8" t="s">
        <v>27</v>
      </c>
      <c r="B25" s="16" t="s">
        <v>85</v>
      </c>
      <c r="C25" s="32">
        <v>1</v>
      </c>
      <c r="D25" s="35">
        <v>2</v>
      </c>
      <c r="E25" s="35">
        <v>1</v>
      </c>
      <c r="F25" s="33">
        <f t="shared" si="0"/>
        <v>4</v>
      </c>
      <c r="G25" s="35">
        <v>2</v>
      </c>
      <c r="H25" s="35">
        <v>1</v>
      </c>
      <c r="I25" s="35">
        <v>1</v>
      </c>
      <c r="J25" s="33">
        <f t="shared" si="1"/>
        <v>4</v>
      </c>
      <c r="K25" s="35">
        <v>2</v>
      </c>
      <c r="L25" s="35">
        <v>1</v>
      </c>
      <c r="M25" s="35">
        <v>1</v>
      </c>
      <c r="N25" s="33">
        <f t="shared" si="6"/>
        <v>4</v>
      </c>
      <c r="O25" s="35">
        <v>1</v>
      </c>
      <c r="P25" s="35">
        <v>2</v>
      </c>
      <c r="Q25" s="35">
        <v>1</v>
      </c>
      <c r="R25" s="33">
        <f t="shared" si="9"/>
        <v>4</v>
      </c>
      <c r="S25" s="36">
        <f>F25+J25+N25+R25</f>
        <v>16</v>
      </c>
    </row>
    <row r="26" spans="1:19" x14ac:dyDescent="0.25">
      <c r="A26" s="8" t="s">
        <v>28</v>
      </c>
      <c r="B26" s="16" t="s">
        <v>86</v>
      </c>
      <c r="C26" s="32">
        <v>1</v>
      </c>
      <c r="D26" s="35">
        <v>2</v>
      </c>
      <c r="E26" s="35">
        <v>1</v>
      </c>
      <c r="F26" s="33">
        <f t="shared" si="0"/>
        <v>4</v>
      </c>
      <c r="G26" s="35">
        <v>1</v>
      </c>
      <c r="H26" s="35">
        <v>2</v>
      </c>
      <c r="I26" s="35">
        <v>1</v>
      </c>
      <c r="J26" s="33">
        <f t="shared" si="1"/>
        <v>4</v>
      </c>
      <c r="K26" s="35">
        <v>1</v>
      </c>
      <c r="L26" s="35">
        <v>1</v>
      </c>
      <c r="M26" s="35">
        <v>1</v>
      </c>
      <c r="N26" s="33">
        <f t="shared" si="6"/>
        <v>3</v>
      </c>
      <c r="O26" s="35">
        <v>2</v>
      </c>
      <c r="P26" s="35">
        <v>1</v>
      </c>
      <c r="Q26" s="35">
        <v>1</v>
      </c>
      <c r="R26" s="33">
        <f t="shared" si="9"/>
        <v>4</v>
      </c>
      <c r="S26" s="36">
        <f>F26+J26+N26+R26</f>
        <v>15</v>
      </c>
    </row>
    <row r="27" spans="1:19" x14ac:dyDescent="0.25">
      <c r="A27" s="8" t="s">
        <v>29</v>
      </c>
      <c r="B27" s="16" t="s">
        <v>87</v>
      </c>
      <c r="C27" s="32">
        <v>1</v>
      </c>
      <c r="D27" s="35">
        <v>1</v>
      </c>
      <c r="E27" s="35">
        <v>2</v>
      </c>
      <c r="F27" s="33">
        <f t="shared" si="0"/>
        <v>4</v>
      </c>
      <c r="G27" s="35">
        <v>2</v>
      </c>
      <c r="H27" s="35">
        <v>1</v>
      </c>
      <c r="I27" s="35">
        <v>1</v>
      </c>
      <c r="J27" s="33">
        <f t="shared" si="1"/>
        <v>4</v>
      </c>
      <c r="K27" s="35">
        <v>1</v>
      </c>
      <c r="L27" s="35">
        <v>1</v>
      </c>
      <c r="M27" s="35">
        <v>2</v>
      </c>
      <c r="N27" s="33">
        <f t="shared" si="6"/>
        <v>4</v>
      </c>
      <c r="O27" s="35">
        <v>1</v>
      </c>
      <c r="P27" s="35">
        <v>2</v>
      </c>
      <c r="Q27" s="35">
        <v>1</v>
      </c>
      <c r="R27" s="33">
        <f t="shared" si="9"/>
        <v>4</v>
      </c>
      <c r="S27" s="36">
        <f>F27+J27+N27+R27</f>
        <v>16</v>
      </c>
    </row>
    <row r="28" spans="1:19" x14ac:dyDescent="0.25">
      <c r="A28" s="8" t="s">
        <v>30</v>
      </c>
      <c r="B28" s="16" t="s">
        <v>88</v>
      </c>
      <c r="C28" s="32">
        <v>2</v>
      </c>
      <c r="D28" s="35">
        <v>1</v>
      </c>
      <c r="E28" s="35">
        <v>1</v>
      </c>
      <c r="F28" s="33">
        <f t="shared" si="0"/>
        <v>4</v>
      </c>
      <c r="G28" s="35">
        <v>1</v>
      </c>
      <c r="H28" s="35">
        <v>1</v>
      </c>
      <c r="I28" s="35">
        <v>1</v>
      </c>
      <c r="J28" s="33">
        <f t="shared" si="1"/>
        <v>3</v>
      </c>
      <c r="K28" s="35">
        <v>1</v>
      </c>
      <c r="L28" s="35">
        <v>2</v>
      </c>
      <c r="M28" s="35">
        <v>1</v>
      </c>
      <c r="N28" s="33">
        <f t="shared" si="6"/>
        <v>4</v>
      </c>
      <c r="O28" s="35">
        <v>1</v>
      </c>
      <c r="P28" s="35">
        <v>1</v>
      </c>
      <c r="Q28" s="35">
        <v>2</v>
      </c>
      <c r="R28" s="33">
        <f t="shared" si="9"/>
        <v>4</v>
      </c>
      <c r="S28" s="36">
        <f>F28+J28+N28+R28</f>
        <v>15</v>
      </c>
    </row>
    <row r="29" spans="1:19" x14ac:dyDescent="0.25">
      <c r="A29" s="8" t="s">
        <v>31</v>
      </c>
      <c r="B29" s="16" t="s">
        <v>89</v>
      </c>
      <c r="C29" s="32">
        <v>1</v>
      </c>
      <c r="D29" s="35">
        <v>1</v>
      </c>
      <c r="E29" s="35">
        <v>2</v>
      </c>
      <c r="F29" s="33">
        <f t="shared" si="0"/>
        <v>4</v>
      </c>
      <c r="G29" s="35">
        <v>1</v>
      </c>
      <c r="H29" s="35">
        <v>2</v>
      </c>
      <c r="I29" s="35">
        <v>1</v>
      </c>
      <c r="J29" s="33">
        <f t="shared" si="1"/>
        <v>4</v>
      </c>
      <c r="K29" s="35">
        <v>1</v>
      </c>
      <c r="L29" s="35">
        <v>2</v>
      </c>
      <c r="M29" s="35">
        <v>1</v>
      </c>
      <c r="N29" s="33">
        <f t="shared" si="6"/>
        <v>4</v>
      </c>
      <c r="O29" s="35">
        <v>2</v>
      </c>
      <c r="P29" s="35">
        <v>1</v>
      </c>
      <c r="Q29" s="35">
        <v>1</v>
      </c>
      <c r="R29" s="33">
        <f t="shared" si="9"/>
        <v>4</v>
      </c>
      <c r="S29" s="36">
        <f>F29+J29+N29+R29</f>
        <v>16</v>
      </c>
    </row>
    <row r="30" spans="1:19" x14ac:dyDescent="0.25">
      <c r="A30" s="8" t="s">
        <v>32</v>
      </c>
      <c r="B30" s="16" t="s">
        <v>90</v>
      </c>
      <c r="C30" s="32">
        <v>2</v>
      </c>
      <c r="D30" s="35">
        <v>1</v>
      </c>
      <c r="E30" s="35">
        <v>1</v>
      </c>
      <c r="F30" s="33">
        <f t="shared" si="0"/>
        <v>4</v>
      </c>
      <c r="G30" s="35">
        <v>1</v>
      </c>
      <c r="H30" s="35">
        <v>2</v>
      </c>
      <c r="I30" s="35">
        <v>1</v>
      </c>
      <c r="J30" s="33">
        <f t="shared" si="1"/>
        <v>4</v>
      </c>
      <c r="K30" s="35">
        <v>2</v>
      </c>
      <c r="L30" s="35">
        <v>1</v>
      </c>
      <c r="M30" s="35">
        <v>1</v>
      </c>
      <c r="N30" s="33">
        <f t="shared" si="6"/>
        <v>4</v>
      </c>
      <c r="O30" s="35">
        <v>2</v>
      </c>
      <c r="P30" s="35">
        <v>1</v>
      </c>
      <c r="Q30" s="35">
        <v>1</v>
      </c>
      <c r="R30" s="33">
        <f t="shared" si="9"/>
        <v>4</v>
      </c>
      <c r="S30" s="36">
        <f>F30+J30+N30+R30</f>
        <v>16</v>
      </c>
    </row>
    <row r="31" spans="1:19" ht="16.5" thickBot="1" x14ac:dyDescent="0.3">
      <c r="A31" s="8" t="s">
        <v>33</v>
      </c>
      <c r="B31" s="16" t="s">
        <v>91</v>
      </c>
      <c r="C31" s="32">
        <v>1</v>
      </c>
      <c r="D31" s="35">
        <v>2</v>
      </c>
      <c r="E31" s="35">
        <v>1</v>
      </c>
      <c r="F31" s="33">
        <f t="shared" si="0"/>
        <v>4</v>
      </c>
      <c r="G31" s="35">
        <v>2</v>
      </c>
      <c r="H31" s="35">
        <v>1</v>
      </c>
      <c r="I31" s="35">
        <v>1</v>
      </c>
      <c r="J31" s="33">
        <f t="shared" si="1"/>
        <v>4</v>
      </c>
      <c r="K31" s="35">
        <v>1</v>
      </c>
      <c r="L31" s="35">
        <v>1</v>
      </c>
      <c r="M31" s="35">
        <v>2</v>
      </c>
      <c r="N31" s="33">
        <f t="shared" si="6"/>
        <v>4</v>
      </c>
      <c r="O31" s="35">
        <v>1</v>
      </c>
      <c r="P31" s="35">
        <v>1</v>
      </c>
      <c r="Q31" s="35">
        <v>2</v>
      </c>
      <c r="R31" s="33">
        <f t="shared" si="9"/>
        <v>4</v>
      </c>
      <c r="S31" s="37">
        <f>F31+J31+N31+R31</f>
        <v>16</v>
      </c>
    </row>
    <row r="32" spans="1:19" ht="16.5" thickBot="1" x14ac:dyDescent="0.3">
      <c r="A32" s="12" t="s">
        <v>112</v>
      </c>
      <c r="B32" s="17"/>
      <c r="C32" s="38">
        <f>SUM(C23:C31)</f>
        <v>12</v>
      </c>
      <c r="D32" s="38">
        <f t="shared" ref="D32:R32" si="10">SUM(D23:D31)</f>
        <v>12</v>
      </c>
      <c r="E32" s="38">
        <f>SUM(E23:E31)</f>
        <v>12</v>
      </c>
      <c r="F32" s="39">
        <f t="shared" si="10"/>
        <v>36</v>
      </c>
      <c r="G32" s="38">
        <f>SUM(G23:G31)</f>
        <v>12</v>
      </c>
      <c r="H32" s="38">
        <f t="shared" si="10"/>
        <v>12</v>
      </c>
      <c r="I32" s="38">
        <f>SUM(I23:I31)</f>
        <v>11</v>
      </c>
      <c r="J32" s="39">
        <f t="shared" si="10"/>
        <v>35</v>
      </c>
      <c r="K32" s="38">
        <f t="shared" si="10"/>
        <v>11</v>
      </c>
      <c r="L32" s="38">
        <f>SUM(L23:L31)</f>
        <v>12</v>
      </c>
      <c r="M32" s="38">
        <f>SUM(M23:M31)</f>
        <v>12</v>
      </c>
      <c r="N32" s="39">
        <f t="shared" si="10"/>
        <v>35</v>
      </c>
      <c r="O32" s="38">
        <f>SUM(O23:O31)</f>
        <v>12</v>
      </c>
      <c r="P32" s="38">
        <f t="shared" si="10"/>
        <v>12</v>
      </c>
      <c r="Q32" s="38">
        <f t="shared" si="10"/>
        <v>12</v>
      </c>
      <c r="R32" s="39">
        <f t="shared" si="10"/>
        <v>36</v>
      </c>
      <c r="S32" s="40">
        <f>F32+J32+N32+R32</f>
        <v>142</v>
      </c>
    </row>
    <row r="33" spans="1:19" x14ac:dyDescent="0.25">
      <c r="A33" s="13" t="s">
        <v>38</v>
      </c>
      <c r="B33" s="14" t="s">
        <v>98</v>
      </c>
      <c r="C33" s="32">
        <v>2</v>
      </c>
      <c r="D33" s="32">
        <v>1</v>
      </c>
      <c r="E33" s="32">
        <v>1</v>
      </c>
      <c r="F33" s="33">
        <f t="shared" ref="F33:F51" si="11">C33+D33+E33</f>
        <v>4</v>
      </c>
      <c r="G33" s="32">
        <v>1</v>
      </c>
      <c r="H33" s="32">
        <v>1</v>
      </c>
      <c r="I33" s="32">
        <v>2</v>
      </c>
      <c r="J33" s="33">
        <f t="shared" si="1"/>
        <v>4</v>
      </c>
      <c r="K33" s="32">
        <v>1</v>
      </c>
      <c r="L33" s="32">
        <v>1</v>
      </c>
      <c r="M33" s="32">
        <v>1</v>
      </c>
      <c r="N33" s="33">
        <f t="shared" si="6"/>
        <v>3</v>
      </c>
      <c r="O33" s="32">
        <v>2</v>
      </c>
      <c r="P33" s="32">
        <v>1</v>
      </c>
      <c r="Q33" s="32">
        <v>1</v>
      </c>
      <c r="R33" s="33">
        <f t="shared" si="9"/>
        <v>4</v>
      </c>
      <c r="S33" s="34">
        <f>F33+J33+N33+R33</f>
        <v>15</v>
      </c>
    </row>
    <row r="34" spans="1:19" x14ac:dyDescent="0.25">
      <c r="A34" s="8" t="s">
        <v>39</v>
      </c>
      <c r="B34" s="16" t="s">
        <v>99</v>
      </c>
      <c r="C34" s="32">
        <v>1</v>
      </c>
      <c r="D34" s="35">
        <v>1</v>
      </c>
      <c r="E34" s="35">
        <v>2</v>
      </c>
      <c r="F34" s="33">
        <f t="shared" si="11"/>
        <v>4</v>
      </c>
      <c r="G34" s="35">
        <v>1</v>
      </c>
      <c r="H34" s="35">
        <v>1</v>
      </c>
      <c r="I34" s="35">
        <v>2</v>
      </c>
      <c r="J34" s="33">
        <f t="shared" si="1"/>
        <v>4</v>
      </c>
      <c r="K34" s="35">
        <v>1</v>
      </c>
      <c r="L34" s="35">
        <v>2</v>
      </c>
      <c r="M34" s="35">
        <v>1</v>
      </c>
      <c r="N34" s="33">
        <f t="shared" si="6"/>
        <v>4</v>
      </c>
      <c r="O34" s="35">
        <v>1</v>
      </c>
      <c r="P34" s="35">
        <v>2</v>
      </c>
      <c r="Q34" s="35">
        <v>1</v>
      </c>
      <c r="R34" s="33">
        <f t="shared" si="9"/>
        <v>4</v>
      </c>
      <c r="S34" s="36">
        <f>F34+J34+N34+R34</f>
        <v>16</v>
      </c>
    </row>
    <row r="35" spans="1:19" x14ac:dyDescent="0.25">
      <c r="A35" s="8" t="s">
        <v>40</v>
      </c>
      <c r="B35" s="16" t="s">
        <v>100</v>
      </c>
      <c r="C35" s="32">
        <v>1</v>
      </c>
      <c r="D35" s="35">
        <v>2</v>
      </c>
      <c r="E35" s="35">
        <v>1</v>
      </c>
      <c r="F35" s="33">
        <f>C35+D35+E35</f>
        <v>4</v>
      </c>
      <c r="G35" s="35">
        <v>2</v>
      </c>
      <c r="H35" s="35">
        <v>1</v>
      </c>
      <c r="I35" s="35">
        <v>1</v>
      </c>
      <c r="J35" s="33">
        <f t="shared" si="1"/>
        <v>4</v>
      </c>
      <c r="K35" s="35">
        <v>2</v>
      </c>
      <c r="L35" s="35">
        <v>1</v>
      </c>
      <c r="M35" s="35">
        <v>1</v>
      </c>
      <c r="N35" s="33">
        <f t="shared" si="6"/>
        <v>4</v>
      </c>
      <c r="O35" s="35">
        <v>2</v>
      </c>
      <c r="P35" s="35">
        <v>1</v>
      </c>
      <c r="Q35" s="35">
        <v>1</v>
      </c>
      <c r="R35" s="33">
        <f t="shared" si="9"/>
        <v>4</v>
      </c>
      <c r="S35" s="36">
        <f>F35+J35+N35+R35</f>
        <v>16</v>
      </c>
    </row>
    <row r="36" spans="1:19" x14ac:dyDescent="0.25">
      <c r="A36" s="8" t="s">
        <v>41</v>
      </c>
      <c r="B36" s="16" t="s">
        <v>101</v>
      </c>
      <c r="C36" s="32">
        <v>1</v>
      </c>
      <c r="D36" s="35">
        <v>1</v>
      </c>
      <c r="E36" s="35">
        <v>1</v>
      </c>
      <c r="F36" s="33">
        <f t="shared" si="11"/>
        <v>3</v>
      </c>
      <c r="G36" s="35">
        <v>2</v>
      </c>
      <c r="H36" s="35">
        <v>1</v>
      </c>
      <c r="I36" s="35">
        <v>1</v>
      </c>
      <c r="J36" s="33">
        <f t="shared" si="1"/>
        <v>4</v>
      </c>
      <c r="K36" s="35">
        <v>2</v>
      </c>
      <c r="L36" s="35">
        <v>1</v>
      </c>
      <c r="M36" s="35">
        <v>1</v>
      </c>
      <c r="N36" s="33">
        <f t="shared" si="6"/>
        <v>4</v>
      </c>
      <c r="O36" s="35">
        <v>1</v>
      </c>
      <c r="P36" s="35">
        <v>1</v>
      </c>
      <c r="Q36" s="35">
        <v>2</v>
      </c>
      <c r="R36" s="33">
        <f t="shared" si="9"/>
        <v>4</v>
      </c>
      <c r="S36" s="36">
        <f>F36+J36+N36+R36</f>
        <v>15</v>
      </c>
    </row>
    <row r="37" spans="1:19" x14ac:dyDescent="0.25">
      <c r="A37" s="8" t="s">
        <v>42</v>
      </c>
      <c r="B37" s="16" t="s">
        <v>102</v>
      </c>
      <c r="C37" s="32">
        <v>1</v>
      </c>
      <c r="D37" s="35">
        <v>1</v>
      </c>
      <c r="E37" s="35">
        <v>2</v>
      </c>
      <c r="F37" s="33">
        <f t="shared" si="11"/>
        <v>4</v>
      </c>
      <c r="G37" s="35">
        <v>1</v>
      </c>
      <c r="H37" s="35">
        <v>1</v>
      </c>
      <c r="I37" s="35">
        <v>2</v>
      </c>
      <c r="J37" s="33">
        <f t="shared" si="1"/>
        <v>4</v>
      </c>
      <c r="K37" s="35">
        <v>1</v>
      </c>
      <c r="L37" s="35">
        <v>1</v>
      </c>
      <c r="M37" s="35">
        <v>2</v>
      </c>
      <c r="N37" s="33">
        <f t="shared" si="6"/>
        <v>4</v>
      </c>
      <c r="O37" s="35">
        <v>1</v>
      </c>
      <c r="P37" s="35">
        <v>2</v>
      </c>
      <c r="Q37" s="35">
        <v>1</v>
      </c>
      <c r="R37" s="33">
        <f t="shared" si="9"/>
        <v>4</v>
      </c>
      <c r="S37" s="36">
        <f>F37+J37+N37+R37</f>
        <v>16</v>
      </c>
    </row>
    <row r="38" spans="1:19" x14ac:dyDescent="0.25">
      <c r="A38" s="8" t="s">
        <v>43</v>
      </c>
      <c r="B38" s="16" t="s">
        <v>103</v>
      </c>
      <c r="C38" s="32">
        <v>1</v>
      </c>
      <c r="D38" s="35">
        <v>2</v>
      </c>
      <c r="E38" s="35">
        <v>1</v>
      </c>
      <c r="F38" s="33">
        <f t="shared" si="11"/>
        <v>4</v>
      </c>
      <c r="G38" s="35">
        <v>1</v>
      </c>
      <c r="H38" s="35">
        <v>2</v>
      </c>
      <c r="I38" s="35">
        <v>1</v>
      </c>
      <c r="J38" s="33">
        <f t="shared" si="1"/>
        <v>4</v>
      </c>
      <c r="K38" s="35">
        <v>1</v>
      </c>
      <c r="L38" s="35">
        <v>1</v>
      </c>
      <c r="M38" s="35">
        <v>2</v>
      </c>
      <c r="N38" s="33">
        <f t="shared" si="6"/>
        <v>4</v>
      </c>
      <c r="O38" s="35">
        <v>1</v>
      </c>
      <c r="P38" s="35">
        <v>1</v>
      </c>
      <c r="Q38" s="35">
        <v>1</v>
      </c>
      <c r="R38" s="33">
        <f t="shared" si="9"/>
        <v>3</v>
      </c>
      <c r="S38" s="36">
        <f>F38+J38+N38+R38</f>
        <v>15</v>
      </c>
    </row>
    <row r="39" spans="1:19" x14ac:dyDescent="0.25">
      <c r="A39" s="8" t="s">
        <v>44</v>
      </c>
      <c r="B39" s="16" t="s">
        <v>104</v>
      </c>
      <c r="C39" s="32">
        <v>1</v>
      </c>
      <c r="D39" s="35">
        <v>2</v>
      </c>
      <c r="E39" s="35">
        <v>1</v>
      </c>
      <c r="F39" s="33">
        <f t="shared" si="11"/>
        <v>4</v>
      </c>
      <c r="G39" s="35">
        <v>2</v>
      </c>
      <c r="H39" s="35">
        <v>1</v>
      </c>
      <c r="I39" s="35">
        <v>1</v>
      </c>
      <c r="J39" s="33">
        <f t="shared" si="1"/>
        <v>4</v>
      </c>
      <c r="K39" s="35">
        <v>1</v>
      </c>
      <c r="L39" s="35">
        <v>1</v>
      </c>
      <c r="M39" s="35">
        <v>2</v>
      </c>
      <c r="N39" s="33">
        <f t="shared" si="6"/>
        <v>4</v>
      </c>
      <c r="O39" s="35">
        <v>1</v>
      </c>
      <c r="P39" s="35">
        <v>1</v>
      </c>
      <c r="Q39" s="35">
        <v>2</v>
      </c>
      <c r="R39" s="33">
        <f t="shared" si="9"/>
        <v>4</v>
      </c>
      <c r="S39" s="36">
        <f>F39+J39+N39+R39</f>
        <v>16</v>
      </c>
    </row>
    <row r="40" spans="1:19" x14ac:dyDescent="0.25">
      <c r="A40" s="8" t="s">
        <v>45</v>
      </c>
      <c r="B40" s="16" t="s">
        <v>105</v>
      </c>
      <c r="C40" s="32">
        <v>1</v>
      </c>
      <c r="D40" s="35">
        <v>1</v>
      </c>
      <c r="E40" s="35">
        <v>2</v>
      </c>
      <c r="F40" s="33">
        <f t="shared" si="11"/>
        <v>4</v>
      </c>
      <c r="G40" s="35">
        <v>1</v>
      </c>
      <c r="H40" s="35">
        <v>2</v>
      </c>
      <c r="I40" s="35">
        <v>1</v>
      </c>
      <c r="J40" s="33">
        <f t="shared" si="1"/>
        <v>4</v>
      </c>
      <c r="K40" s="35">
        <v>1</v>
      </c>
      <c r="L40" s="35">
        <v>2</v>
      </c>
      <c r="M40" s="35">
        <v>1</v>
      </c>
      <c r="N40" s="33">
        <f t="shared" si="6"/>
        <v>4</v>
      </c>
      <c r="O40" s="35">
        <v>2</v>
      </c>
      <c r="P40" s="35">
        <v>1</v>
      </c>
      <c r="Q40" s="35">
        <v>1</v>
      </c>
      <c r="R40" s="33">
        <f t="shared" si="9"/>
        <v>4</v>
      </c>
      <c r="S40" s="36">
        <f>F40+J40+N40+R40</f>
        <v>16</v>
      </c>
    </row>
    <row r="41" spans="1:19" ht="16.5" thickBot="1" x14ac:dyDescent="0.3">
      <c r="A41" s="10" t="s">
        <v>46</v>
      </c>
      <c r="B41" s="19" t="s">
        <v>106</v>
      </c>
      <c r="C41" s="32">
        <v>2</v>
      </c>
      <c r="D41" s="41">
        <v>1</v>
      </c>
      <c r="E41" s="41">
        <v>1</v>
      </c>
      <c r="F41" s="33">
        <f t="shared" si="11"/>
        <v>4</v>
      </c>
      <c r="G41" s="41">
        <v>1</v>
      </c>
      <c r="H41" s="41">
        <v>2</v>
      </c>
      <c r="I41" s="41">
        <v>1</v>
      </c>
      <c r="J41" s="33">
        <f t="shared" si="1"/>
        <v>4</v>
      </c>
      <c r="K41" s="41">
        <v>2</v>
      </c>
      <c r="L41" s="41">
        <v>1</v>
      </c>
      <c r="M41" s="41">
        <v>1</v>
      </c>
      <c r="N41" s="33">
        <f t="shared" si="6"/>
        <v>4</v>
      </c>
      <c r="O41" s="41">
        <v>1</v>
      </c>
      <c r="P41" s="41">
        <v>1</v>
      </c>
      <c r="Q41" s="41">
        <v>2</v>
      </c>
      <c r="R41" s="33">
        <f t="shared" si="9"/>
        <v>4</v>
      </c>
      <c r="S41" s="37">
        <f>F41+J41+N41+R41</f>
        <v>16</v>
      </c>
    </row>
    <row r="42" spans="1:19" ht="16.5" thickBot="1" x14ac:dyDescent="0.3">
      <c r="A42" s="12" t="s">
        <v>113</v>
      </c>
      <c r="B42" s="17"/>
      <c r="C42" s="38">
        <f>SUM(C33:C41)</f>
        <v>11</v>
      </c>
      <c r="D42" s="38">
        <f t="shared" ref="D42:R42" si="12">SUM(D33:D41)</f>
        <v>12</v>
      </c>
      <c r="E42" s="38">
        <f t="shared" si="12"/>
        <v>12</v>
      </c>
      <c r="F42" s="39">
        <f t="shared" si="12"/>
        <v>35</v>
      </c>
      <c r="G42" s="38">
        <f>SUM(G33:G41)</f>
        <v>12</v>
      </c>
      <c r="H42" s="38">
        <f t="shared" si="12"/>
        <v>12</v>
      </c>
      <c r="I42" s="38">
        <f t="shared" si="12"/>
        <v>12</v>
      </c>
      <c r="J42" s="39">
        <f t="shared" si="12"/>
        <v>36</v>
      </c>
      <c r="K42" s="38">
        <f t="shared" si="12"/>
        <v>12</v>
      </c>
      <c r="L42" s="38">
        <f t="shared" si="12"/>
        <v>11</v>
      </c>
      <c r="M42" s="38">
        <f t="shared" si="12"/>
        <v>12</v>
      </c>
      <c r="N42" s="39">
        <f t="shared" si="12"/>
        <v>35</v>
      </c>
      <c r="O42" s="38">
        <f t="shared" si="12"/>
        <v>12</v>
      </c>
      <c r="P42" s="38">
        <f t="shared" si="12"/>
        <v>11</v>
      </c>
      <c r="Q42" s="38">
        <f t="shared" si="12"/>
        <v>12</v>
      </c>
      <c r="R42" s="39">
        <f t="shared" si="12"/>
        <v>35</v>
      </c>
      <c r="S42" s="40">
        <f>F42+J42+N42+R42</f>
        <v>141</v>
      </c>
    </row>
    <row r="43" spans="1:19" x14ac:dyDescent="0.25">
      <c r="A43" s="8" t="s">
        <v>11</v>
      </c>
      <c r="B43" s="9" t="s">
        <v>65</v>
      </c>
      <c r="C43" s="32">
        <v>2</v>
      </c>
      <c r="D43" s="35">
        <v>1</v>
      </c>
      <c r="E43" s="35">
        <v>1</v>
      </c>
      <c r="F43" s="33">
        <f t="shared" si="11"/>
        <v>4</v>
      </c>
      <c r="G43" s="35">
        <v>1</v>
      </c>
      <c r="H43" s="35">
        <v>1</v>
      </c>
      <c r="I43" s="35">
        <v>2</v>
      </c>
      <c r="J43" s="33">
        <f t="shared" si="1"/>
        <v>4</v>
      </c>
      <c r="K43" s="35">
        <v>1</v>
      </c>
      <c r="L43" s="35">
        <v>1</v>
      </c>
      <c r="M43" s="35">
        <v>2</v>
      </c>
      <c r="N43" s="33">
        <f t="shared" si="6"/>
        <v>4</v>
      </c>
      <c r="O43" s="35">
        <v>1</v>
      </c>
      <c r="P43" s="35">
        <v>1</v>
      </c>
      <c r="Q43" s="35">
        <v>2</v>
      </c>
      <c r="R43" s="33">
        <f t="shared" ref="R43:R51" si="13">O43+P43+Q43</f>
        <v>4</v>
      </c>
      <c r="S43" s="34">
        <f>F43+J43+N43+R43</f>
        <v>16</v>
      </c>
    </row>
    <row r="44" spans="1:19" ht="18" customHeight="1" x14ac:dyDescent="0.25">
      <c r="A44" s="8" t="s">
        <v>12</v>
      </c>
      <c r="B44" s="9" t="s">
        <v>66</v>
      </c>
      <c r="C44" s="32">
        <v>1</v>
      </c>
      <c r="D44" s="35">
        <v>1</v>
      </c>
      <c r="E44" s="35">
        <v>2</v>
      </c>
      <c r="F44" s="33">
        <f t="shared" si="11"/>
        <v>4</v>
      </c>
      <c r="G44" s="35">
        <v>1</v>
      </c>
      <c r="H44" s="35">
        <v>1</v>
      </c>
      <c r="I44" s="35">
        <v>2</v>
      </c>
      <c r="J44" s="33">
        <f t="shared" si="1"/>
        <v>4</v>
      </c>
      <c r="K44" s="35">
        <v>2</v>
      </c>
      <c r="L44" s="35">
        <v>1</v>
      </c>
      <c r="M44" s="35">
        <v>1</v>
      </c>
      <c r="N44" s="33">
        <f t="shared" si="6"/>
        <v>4</v>
      </c>
      <c r="O44" s="35">
        <v>2</v>
      </c>
      <c r="P44" s="35">
        <v>1</v>
      </c>
      <c r="Q44" s="35">
        <v>1</v>
      </c>
      <c r="R44" s="33">
        <f t="shared" si="13"/>
        <v>4</v>
      </c>
      <c r="S44" s="36">
        <f>F44+J44+N44+R44</f>
        <v>16</v>
      </c>
    </row>
    <row r="45" spans="1:19" x14ac:dyDescent="0.25">
      <c r="A45" s="10" t="s">
        <v>13</v>
      </c>
      <c r="B45" s="9" t="s">
        <v>67</v>
      </c>
      <c r="C45" s="32">
        <v>1</v>
      </c>
      <c r="D45" s="41">
        <v>2</v>
      </c>
      <c r="E45" s="35">
        <v>1</v>
      </c>
      <c r="F45" s="33">
        <f t="shared" si="11"/>
        <v>4</v>
      </c>
      <c r="G45" s="35">
        <v>1</v>
      </c>
      <c r="H45" s="35">
        <v>1</v>
      </c>
      <c r="I45" s="35">
        <v>2</v>
      </c>
      <c r="J45" s="33">
        <f t="shared" si="1"/>
        <v>4</v>
      </c>
      <c r="K45" s="35">
        <v>1</v>
      </c>
      <c r="L45" s="35">
        <v>2</v>
      </c>
      <c r="M45" s="35">
        <v>1</v>
      </c>
      <c r="N45" s="33">
        <f t="shared" si="6"/>
        <v>4</v>
      </c>
      <c r="O45" s="35">
        <v>2</v>
      </c>
      <c r="P45" s="35">
        <v>1</v>
      </c>
      <c r="Q45" s="35">
        <v>1</v>
      </c>
      <c r="R45" s="33">
        <f t="shared" si="13"/>
        <v>4</v>
      </c>
      <c r="S45" s="36">
        <f>F45+J45+N45+R45</f>
        <v>16</v>
      </c>
    </row>
    <row r="46" spans="1:19" s="18" customFormat="1" x14ac:dyDescent="0.25">
      <c r="A46" s="8" t="s">
        <v>34</v>
      </c>
      <c r="B46" s="16" t="s">
        <v>92</v>
      </c>
      <c r="C46" s="32">
        <v>1</v>
      </c>
      <c r="D46" s="35">
        <v>2</v>
      </c>
      <c r="E46" s="35">
        <v>1</v>
      </c>
      <c r="F46" s="33">
        <f t="shared" si="11"/>
        <v>4</v>
      </c>
      <c r="G46" s="35">
        <v>2</v>
      </c>
      <c r="H46" s="35">
        <v>1</v>
      </c>
      <c r="I46" s="35">
        <v>1</v>
      </c>
      <c r="J46" s="33">
        <f t="shared" si="1"/>
        <v>4</v>
      </c>
      <c r="K46" s="35">
        <v>1</v>
      </c>
      <c r="L46" s="35">
        <v>2</v>
      </c>
      <c r="M46" s="35">
        <v>1</v>
      </c>
      <c r="N46" s="33">
        <f t="shared" si="6"/>
        <v>4</v>
      </c>
      <c r="O46" s="35">
        <v>1</v>
      </c>
      <c r="P46" s="35">
        <v>2</v>
      </c>
      <c r="Q46" s="35">
        <v>1</v>
      </c>
      <c r="R46" s="33">
        <f t="shared" si="13"/>
        <v>4</v>
      </c>
      <c r="S46" s="36">
        <f>F46+J46+N46+R46</f>
        <v>16</v>
      </c>
    </row>
    <row r="47" spans="1:19" x14ac:dyDescent="0.25">
      <c r="A47" s="8" t="s">
        <v>35</v>
      </c>
      <c r="B47" s="16" t="s">
        <v>93</v>
      </c>
      <c r="C47" s="32">
        <v>2</v>
      </c>
      <c r="D47" s="35">
        <v>1</v>
      </c>
      <c r="E47" s="35">
        <v>1</v>
      </c>
      <c r="F47" s="33">
        <f t="shared" si="11"/>
        <v>4</v>
      </c>
      <c r="G47" s="35">
        <v>2</v>
      </c>
      <c r="H47" s="35">
        <v>1</v>
      </c>
      <c r="I47" s="35">
        <v>1</v>
      </c>
      <c r="J47" s="33">
        <f t="shared" si="1"/>
        <v>4</v>
      </c>
      <c r="K47" s="35">
        <v>2</v>
      </c>
      <c r="L47" s="35">
        <v>1</v>
      </c>
      <c r="M47" s="35">
        <v>1</v>
      </c>
      <c r="N47" s="33">
        <f t="shared" si="6"/>
        <v>4</v>
      </c>
      <c r="O47" s="35">
        <v>1</v>
      </c>
      <c r="P47" s="35">
        <v>1</v>
      </c>
      <c r="Q47" s="35">
        <v>2</v>
      </c>
      <c r="R47" s="33">
        <f t="shared" si="13"/>
        <v>4</v>
      </c>
      <c r="S47" s="36">
        <f>F47+J47+N47+R47</f>
        <v>16</v>
      </c>
    </row>
    <row r="48" spans="1:19" x14ac:dyDescent="0.25">
      <c r="A48" s="8" t="s">
        <v>36</v>
      </c>
      <c r="B48" s="16" t="s">
        <v>94</v>
      </c>
      <c r="C48" s="32">
        <v>1</v>
      </c>
      <c r="D48" s="35">
        <v>1</v>
      </c>
      <c r="E48" s="35">
        <v>2</v>
      </c>
      <c r="F48" s="33">
        <f t="shared" si="11"/>
        <v>4</v>
      </c>
      <c r="G48" s="35">
        <v>1</v>
      </c>
      <c r="H48" s="42">
        <v>2</v>
      </c>
      <c r="I48" s="35">
        <v>1</v>
      </c>
      <c r="J48" s="33">
        <f t="shared" si="1"/>
        <v>4</v>
      </c>
      <c r="K48" s="35">
        <v>1</v>
      </c>
      <c r="L48" s="35">
        <v>2</v>
      </c>
      <c r="M48" s="35">
        <v>1</v>
      </c>
      <c r="N48" s="33">
        <f t="shared" si="6"/>
        <v>4</v>
      </c>
      <c r="O48" s="35">
        <v>2</v>
      </c>
      <c r="P48" s="35">
        <v>1</v>
      </c>
      <c r="Q48" s="35">
        <v>1</v>
      </c>
      <c r="R48" s="33">
        <f t="shared" si="13"/>
        <v>4</v>
      </c>
      <c r="S48" s="36">
        <f>F48+J48+N48+R48</f>
        <v>16</v>
      </c>
    </row>
    <row r="49" spans="1:19" x14ac:dyDescent="0.25">
      <c r="A49" s="8" t="s">
        <v>37</v>
      </c>
      <c r="B49" s="16" t="s">
        <v>95</v>
      </c>
      <c r="C49" s="32">
        <v>1</v>
      </c>
      <c r="D49" s="41">
        <v>1</v>
      </c>
      <c r="E49" s="41">
        <v>1</v>
      </c>
      <c r="F49" s="33">
        <f t="shared" si="11"/>
        <v>3</v>
      </c>
      <c r="G49" s="41">
        <v>1</v>
      </c>
      <c r="H49" s="41">
        <v>2</v>
      </c>
      <c r="I49" s="41">
        <v>1</v>
      </c>
      <c r="J49" s="33">
        <f t="shared" si="1"/>
        <v>4</v>
      </c>
      <c r="K49" s="41">
        <v>1</v>
      </c>
      <c r="L49" s="41">
        <v>1</v>
      </c>
      <c r="M49" s="41">
        <v>2</v>
      </c>
      <c r="N49" s="33">
        <f t="shared" si="6"/>
        <v>4</v>
      </c>
      <c r="O49" s="41">
        <v>1</v>
      </c>
      <c r="P49" s="41">
        <v>2</v>
      </c>
      <c r="Q49" s="41">
        <v>1</v>
      </c>
      <c r="R49" s="33">
        <f t="shared" si="13"/>
        <v>4</v>
      </c>
      <c r="S49" s="36">
        <f>F49+J49+N49+R49</f>
        <v>15</v>
      </c>
    </row>
    <row r="50" spans="1:19" x14ac:dyDescent="0.25">
      <c r="A50" s="8" t="s">
        <v>14</v>
      </c>
      <c r="B50" s="9" t="s">
        <v>96</v>
      </c>
      <c r="C50" s="32">
        <v>1</v>
      </c>
      <c r="D50" s="35">
        <v>1</v>
      </c>
      <c r="E50" s="35">
        <v>2</v>
      </c>
      <c r="F50" s="33">
        <f t="shared" si="11"/>
        <v>4</v>
      </c>
      <c r="G50" s="35">
        <v>1</v>
      </c>
      <c r="H50" s="35">
        <v>1</v>
      </c>
      <c r="I50" s="35">
        <v>1</v>
      </c>
      <c r="J50" s="33">
        <f t="shared" si="1"/>
        <v>3</v>
      </c>
      <c r="K50" s="35">
        <v>2</v>
      </c>
      <c r="L50" s="35">
        <v>1</v>
      </c>
      <c r="M50" s="35">
        <v>1</v>
      </c>
      <c r="N50" s="33">
        <f t="shared" si="6"/>
        <v>4</v>
      </c>
      <c r="O50" s="35">
        <v>1</v>
      </c>
      <c r="P50" s="35">
        <v>1</v>
      </c>
      <c r="Q50" s="35">
        <v>2</v>
      </c>
      <c r="R50" s="33">
        <f t="shared" si="13"/>
        <v>4</v>
      </c>
      <c r="S50" s="36">
        <f>F50+J50+N50+R50</f>
        <v>15</v>
      </c>
    </row>
    <row r="51" spans="1:19" ht="16.5" thickBot="1" x14ac:dyDescent="0.3">
      <c r="A51" s="8" t="s">
        <v>15</v>
      </c>
      <c r="B51" s="9" t="s">
        <v>97</v>
      </c>
      <c r="C51" s="32">
        <v>2</v>
      </c>
      <c r="D51" s="35">
        <v>1</v>
      </c>
      <c r="E51" s="35">
        <v>1</v>
      </c>
      <c r="F51" s="33">
        <f t="shared" si="11"/>
        <v>4</v>
      </c>
      <c r="G51" s="35">
        <v>2</v>
      </c>
      <c r="H51" s="35">
        <v>1</v>
      </c>
      <c r="I51" s="35">
        <v>1</v>
      </c>
      <c r="J51" s="33">
        <f t="shared" si="1"/>
        <v>4</v>
      </c>
      <c r="K51" s="35">
        <v>1</v>
      </c>
      <c r="L51" s="35">
        <v>1</v>
      </c>
      <c r="M51" s="35">
        <v>2</v>
      </c>
      <c r="N51" s="33">
        <f t="shared" si="6"/>
        <v>4</v>
      </c>
      <c r="O51" s="35">
        <v>1</v>
      </c>
      <c r="P51" s="35">
        <v>2</v>
      </c>
      <c r="Q51" s="35">
        <v>1</v>
      </c>
      <c r="R51" s="33">
        <f t="shared" si="13"/>
        <v>4</v>
      </c>
      <c r="S51" s="37">
        <f>F51+J51+N51+R51</f>
        <v>16</v>
      </c>
    </row>
    <row r="52" spans="1:19" ht="16.5" thickBot="1" x14ac:dyDescent="0.3">
      <c r="A52" s="12" t="s">
        <v>114</v>
      </c>
      <c r="B52" s="17"/>
      <c r="C52" s="43">
        <f t="shared" ref="C52:R52" si="14">SUM(C43:C51)</f>
        <v>12</v>
      </c>
      <c r="D52" s="43">
        <f t="shared" si="14"/>
        <v>11</v>
      </c>
      <c r="E52" s="43">
        <f t="shared" si="14"/>
        <v>12</v>
      </c>
      <c r="F52" s="44">
        <f t="shared" si="14"/>
        <v>35</v>
      </c>
      <c r="G52" s="43">
        <f t="shared" si="14"/>
        <v>12</v>
      </c>
      <c r="H52" s="43">
        <f t="shared" si="14"/>
        <v>11</v>
      </c>
      <c r="I52" s="43">
        <f t="shared" si="14"/>
        <v>12</v>
      </c>
      <c r="J52" s="44">
        <f t="shared" si="14"/>
        <v>35</v>
      </c>
      <c r="K52" s="43">
        <f t="shared" si="14"/>
        <v>12</v>
      </c>
      <c r="L52" s="43">
        <f t="shared" si="14"/>
        <v>12</v>
      </c>
      <c r="M52" s="43">
        <f t="shared" si="14"/>
        <v>12</v>
      </c>
      <c r="N52" s="44">
        <f t="shared" si="14"/>
        <v>36</v>
      </c>
      <c r="O52" s="43">
        <f t="shared" si="14"/>
        <v>12</v>
      </c>
      <c r="P52" s="43">
        <f t="shared" si="14"/>
        <v>12</v>
      </c>
      <c r="Q52" s="43">
        <f t="shared" si="14"/>
        <v>12</v>
      </c>
      <c r="R52" s="44">
        <f t="shared" si="14"/>
        <v>36</v>
      </c>
      <c r="S52" s="40">
        <f>F52+J52+N52+R52</f>
        <v>142</v>
      </c>
    </row>
    <row r="53" spans="1:19" ht="16.5" thickBot="1" x14ac:dyDescent="0.3">
      <c r="A53" s="20" t="s">
        <v>47</v>
      </c>
      <c r="B53" s="20"/>
      <c r="C53" s="45">
        <f>C12+C22+C32+C42+C52</f>
        <v>59</v>
      </c>
      <c r="D53" s="45">
        <f>D12+D22+D32+D42+D52</f>
        <v>58</v>
      </c>
      <c r="E53" s="45">
        <f>E12+E22+E32+E42+E52</f>
        <v>60</v>
      </c>
      <c r="F53" s="46">
        <f>F12+F22+F32+F42+F52</f>
        <v>177</v>
      </c>
      <c r="G53" s="45">
        <f t="shared" ref="G53:R53" si="15">G12+G22+G32+G42+G52</f>
        <v>60</v>
      </c>
      <c r="H53" s="45">
        <f t="shared" si="15"/>
        <v>59</v>
      </c>
      <c r="I53" s="45">
        <f t="shared" si="15"/>
        <v>58</v>
      </c>
      <c r="J53" s="46">
        <f t="shared" si="15"/>
        <v>177</v>
      </c>
      <c r="K53" s="45">
        <f t="shared" si="15"/>
        <v>58</v>
      </c>
      <c r="L53" s="45">
        <f t="shared" si="15"/>
        <v>58</v>
      </c>
      <c r="M53" s="45">
        <f t="shared" si="15"/>
        <v>60</v>
      </c>
      <c r="N53" s="46">
        <f t="shared" si="15"/>
        <v>176</v>
      </c>
      <c r="O53" s="45">
        <f t="shared" si="15"/>
        <v>60</v>
      </c>
      <c r="P53" s="45">
        <f t="shared" si="15"/>
        <v>60</v>
      </c>
      <c r="Q53" s="45">
        <f t="shared" si="15"/>
        <v>58</v>
      </c>
      <c r="R53" s="46">
        <f t="shared" si="15"/>
        <v>178</v>
      </c>
      <c r="S53" s="47">
        <f>F53+J53+N53+R53</f>
        <v>708</v>
      </c>
    </row>
  </sheetData>
  <mergeCells count="1">
    <mergeCell ref="A1:Q1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88" fitToWidth="0" orientation="portrait" verticalDpi="0" r:id="rId1"/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708</vt:lpstr>
      <vt:lpstr>'708'!Область_печати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Сабит Бердимурадов</dc:creator>
  <cp:lastModifiedBy>Алмат Толесинов</cp:lastModifiedBy>
  <cp:lastPrinted>2026-01-06T10:59:15Z</cp:lastPrinted>
  <dcterms:created xsi:type="dcterms:W3CDTF">2022-12-28T06:33:35Z</dcterms:created>
  <dcterms:modified xsi:type="dcterms:W3CDTF">2026-01-09T06:07:38Z</dcterms:modified>
</cp:coreProperties>
</file>