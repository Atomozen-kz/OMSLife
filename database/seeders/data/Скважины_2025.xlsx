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Tolessinov.OMS\Desktop\"/>
    </mc:Choice>
  </mc:AlternateContent>
  <xr:revisionPtr revIDLastSave="0" documentId="13_ncr:1_{288144E3-6750-466F-A501-F922BCDBA8A5}" xr6:coauthVersionLast="47" xr6:coauthVersionMax="47" xr10:uidLastSave="{00000000-0000-0000-0000-000000000000}"/>
  <bookViews>
    <workbookView xWindow="-120" yWindow="-120" windowWidth="29040" windowHeight="15840" tabRatio="602" xr2:uid="{00000000-000D-0000-FFFF-FFFF00000000}"/>
  </bookViews>
  <sheets>
    <sheet name="Свод" sheetId="48" r:id="rId1"/>
  </sheets>
  <definedNames>
    <definedName name="_xlnm._FilterDatabase" localSheetId="0" hidden="1">Свод!$A$4:$M$703</definedName>
    <definedName name="fhh" localSheetId="0">#REF!</definedName>
    <definedName name="fhh">#REF!</definedName>
    <definedName name="hhgg">#REF!</definedName>
    <definedName name="jhh">#REF!</definedName>
    <definedName name="jkjjjjjj">#REF!</definedName>
    <definedName name="khh">#REF!</definedName>
    <definedName name="kkk">#REF!</definedName>
    <definedName name="qwe">#REF!</definedName>
    <definedName name="А">#REF!</definedName>
    <definedName name="аааа">#REF!</definedName>
    <definedName name="август2">#REF!</definedName>
    <definedName name="б">#REF!</definedName>
    <definedName name="ВА">#REF!</definedName>
    <definedName name="всокыугзщшорми">#REF!</definedName>
    <definedName name="г">#REF!</definedName>
    <definedName name="гол">#REF!</definedName>
    <definedName name="гор">#REF!</definedName>
    <definedName name="Е">#REF!</definedName>
    <definedName name="еп">#REF!</definedName>
    <definedName name="епак">#REF!</definedName>
    <definedName name="Ж">#REF!</definedName>
    <definedName name="ЖЮ">#REF!</definedName>
    <definedName name="зх">#REF!</definedName>
    <definedName name="ииииии">#REF!</definedName>
    <definedName name="К">#REF!</definedName>
    <definedName name="ка">#REF!</definedName>
    <definedName name="кам">#REF!</definedName>
    <definedName name="кен">#REF!</definedName>
    <definedName name="Л">#REF!</definedName>
    <definedName name="макс">#REF!</definedName>
    <definedName name="мам">#REF!</definedName>
    <definedName name="мстап">#REF!</definedName>
    <definedName name="Н">#REF!</definedName>
    <definedName name="нгду">#REF!</definedName>
    <definedName name="_xlnm.Print_Area" localSheetId="0">Свод!$A$1:$M$65</definedName>
    <definedName name="Октябрь">#REF!</definedName>
    <definedName name="Параметры_до_обр_ки">"ПГФ"</definedName>
    <definedName name="ппп">#REF!</definedName>
    <definedName name="пр">#REF!</definedName>
    <definedName name="Р">#REF!</definedName>
    <definedName name="ро">#REF!</definedName>
    <definedName name="роппро">#REF!</definedName>
    <definedName name="рриороо">#REF!</definedName>
    <definedName name="ррррррррррррррр">#REF!</definedName>
    <definedName name="с">#REF!</definedName>
    <definedName name="сәуір">#REF!</definedName>
    <definedName name="Т">#REF!</definedName>
    <definedName name="УК">#REF!</definedName>
    <definedName name="Ф">#REF!</definedName>
    <definedName name="ХЗ">#REF!</definedName>
    <definedName name="ЦУ">#REF!</definedName>
    <definedName name="ЭЭ">#REF!</definedName>
  </definedNames>
  <calcPr calcId="181029"/>
  <fileRecoveryPr autoRecover="0"/>
</workbook>
</file>

<file path=xl/calcChain.xml><?xml version="1.0" encoding="utf-8"?>
<calcChain xmlns="http://schemas.openxmlformats.org/spreadsheetml/2006/main">
  <c r="M4" i="48" l="1"/>
  <c r="I703" i="48"/>
  <c r="H703" i="48"/>
  <c r="M703" i="48" s="1"/>
  <c r="I702" i="48"/>
  <c r="H702" i="48"/>
  <c r="M702" i="48" s="1"/>
  <c r="I701" i="48"/>
  <c r="H701" i="48"/>
  <c r="M701" i="48" s="1"/>
  <c r="I700" i="48"/>
  <c r="H700" i="48"/>
  <c r="M700" i="48" s="1"/>
  <c r="I699" i="48"/>
  <c r="H699" i="48"/>
  <c r="M699" i="48" s="1"/>
  <c r="I698" i="48"/>
  <c r="H698" i="48"/>
  <c r="M698" i="48" s="1"/>
  <c r="I697" i="48"/>
  <c r="H697" i="48"/>
  <c r="M697" i="48" s="1"/>
  <c r="I696" i="48"/>
  <c r="H696" i="48"/>
  <c r="M696" i="48" s="1"/>
  <c r="I695" i="48"/>
  <c r="H695" i="48"/>
  <c r="M695" i="48" s="1"/>
  <c r="I694" i="48"/>
  <c r="H694" i="48"/>
  <c r="M694" i="48" s="1"/>
  <c r="I693" i="48"/>
  <c r="H693" i="48"/>
  <c r="M693" i="48" s="1"/>
  <c r="I692" i="48"/>
  <c r="H692" i="48"/>
  <c r="M692" i="48" s="1"/>
  <c r="I539" i="48"/>
  <c r="H539" i="48"/>
  <c r="M539" i="48" s="1"/>
  <c r="I538" i="48"/>
  <c r="H538" i="48"/>
  <c r="M538" i="48" s="1"/>
  <c r="I537" i="48"/>
  <c r="H537" i="48"/>
  <c r="M537" i="48" s="1"/>
  <c r="I536" i="48"/>
  <c r="H536" i="48"/>
  <c r="M536" i="48" s="1"/>
  <c r="I535" i="48"/>
  <c r="H535" i="48"/>
  <c r="M535" i="48" s="1"/>
  <c r="I534" i="48"/>
  <c r="H534" i="48"/>
  <c r="M534" i="48" s="1"/>
  <c r="I533" i="48"/>
  <c r="H533" i="48"/>
  <c r="M533" i="48" s="1"/>
  <c r="I532" i="48"/>
  <c r="H532" i="48"/>
  <c r="M532" i="48" s="1"/>
  <c r="I531" i="48"/>
  <c r="H531" i="48"/>
  <c r="M531" i="48" s="1"/>
  <c r="M530" i="48"/>
  <c r="I530" i="48"/>
  <c r="H530" i="48"/>
  <c r="I529" i="48"/>
  <c r="H529" i="48"/>
  <c r="M529" i="48" s="1"/>
  <c r="I528" i="48"/>
  <c r="H528" i="48"/>
  <c r="M528" i="48" s="1"/>
  <c r="I527" i="48"/>
  <c r="H527" i="48"/>
  <c r="M527" i="48" s="1"/>
  <c r="I526" i="48"/>
  <c r="H526" i="48"/>
  <c r="M526" i="48" s="1"/>
  <c r="I525" i="48"/>
  <c r="H525" i="48"/>
  <c r="M525" i="48" s="1"/>
  <c r="I524" i="48"/>
  <c r="H524" i="48"/>
  <c r="M524" i="48" s="1"/>
  <c r="I523" i="48"/>
  <c r="H523" i="48"/>
  <c r="M523" i="48" s="1"/>
  <c r="I331" i="48"/>
  <c r="H331" i="48"/>
  <c r="M331" i="48" s="1"/>
  <c r="I330" i="48"/>
  <c r="H330" i="48"/>
  <c r="M330" i="48" s="1"/>
  <c r="I329" i="48"/>
  <c r="H329" i="48"/>
  <c r="M329" i="48" s="1"/>
  <c r="I328" i="48"/>
  <c r="H328" i="48"/>
  <c r="M328" i="48" s="1"/>
  <c r="I327" i="48"/>
  <c r="H327" i="48"/>
  <c r="M327" i="48" s="1"/>
  <c r="I326" i="48"/>
  <c r="H326" i="48"/>
  <c r="M326" i="48" s="1"/>
  <c r="I325" i="48"/>
  <c r="H325" i="48"/>
  <c r="M325" i="48" s="1"/>
  <c r="I324" i="48"/>
  <c r="H324" i="48"/>
  <c r="M324" i="48" s="1"/>
  <c r="M188" i="48"/>
  <c r="I188" i="48"/>
  <c r="H188" i="48"/>
  <c r="M187" i="48"/>
  <c r="I187" i="48"/>
  <c r="H187" i="48"/>
  <c r="I186" i="48"/>
  <c r="H186" i="48"/>
  <c r="M186" i="48" s="1"/>
  <c r="I185" i="48"/>
  <c r="H185" i="48"/>
  <c r="M185" i="48" s="1"/>
  <c r="I184" i="48"/>
  <c r="H184" i="48"/>
  <c r="M184" i="48" s="1"/>
  <c r="I183" i="48"/>
  <c r="H183" i="48"/>
  <c r="M183" i="48" s="1"/>
  <c r="I182" i="48"/>
  <c r="H182" i="48"/>
  <c r="M182" i="48" s="1"/>
  <c r="I181" i="48"/>
  <c r="H181" i="48"/>
  <c r="M181" i="48" s="1"/>
  <c r="I180" i="48"/>
  <c r="H180" i="48"/>
  <c r="M180" i="48" s="1"/>
  <c r="I179" i="48"/>
  <c r="H179" i="48"/>
  <c r="M179" i="48" s="1"/>
  <c r="I178" i="48"/>
  <c r="H178" i="48"/>
  <c r="M178" i="48" s="1"/>
  <c r="I177" i="48"/>
  <c r="H177" i="48"/>
  <c r="M177" i="48" s="1"/>
  <c r="I176" i="48"/>
  <c r="H176" i="48"/>
  <c r="M176" i="48" s="1"/>
  <c r="I175" i="48"/>
  <c r="H175" i="48"/>
  <c r="M175" i="48" s="1"/>
  <c r="I691" i="48"/>
  <c r="H691" i="48"/>
  <c r="M691" i="48" s="1"/>
  <c r="I690" i="48"/>
  <c r="H690" i="48"/>
  <c r="M690" i="48" s="1"/>
  <c r="I689" i="48"/>
  <c r="H689" i="48"/>
  <c r="M689" i="48" s="1"/>
  <c r="M688" i="48"/>
  <c r="I688" i="48"/>
  <c r="H688" i="48"/>
  <c r="I687" i="48"/>
  <c r="H687" i="48"/>
  <c r="M687" i="48" s="1"/>
  <c r="I686" i="48"/>
  <c r="H686" i="48"/>
  <c r="M686" i="48" s="1"/>
  <c r="I685" i="48"/>
  <c r="H685" i="48"/>
  <c r="M685" i="48" s="1"/>
  <c r="I684" i="48"/>
  <c r="H684" i="48"/>
  <c r="M684" i="48" s="1"/>
  <c r="M683" i="48"/>
  <c r="I683" i="48"/>
  <c r="H683" i="48"/>
  <c r="I682" i="48"/>
  <c r="H682" i="48"/>
  <c r="M682" i="48" s="1"/>
  <c r="I681" i="48"/>
  <c r="H681" i="48"/>
  <c r="M681" i="48" s="1"/>
  <c r="I680" i="48"/>
  <c r="H680" i="48"/>
  <c r="M680" i="48" s="1"/>
  <c r="I522" i="48"/>
  <c r="H522" i="48"/>
  <c r="M522" i="48" s="1"/>
  <c r="I521" i="48"/>
  <c r="H521" i="48"/>
  <c r="M521" i="48" s="1"/>
  <c r="I520" i="48"/>
  <c r="H520" i="48"/>
  <c r="M520" i="48" s="1"/>
  <c r="I519" i="48"/>
  <c r="H519" i="48"/>
  <c r="M519" i="48" s="1"/>
  <c r="I518" i="48"/>
  <c r="H518" i="48"/>
  <c r="M518" i="48" s="1"/>
  <c r="I517" i="48"/>
  <c r="H517" i="48"/>
  <c r="M517" i="48" s="1"/>
  <c r="I516" i="48"/>
  <c r="H516" i="48"/>
  <c r="M516" i="48" s="1"/>
  <c r="M515" i="48"/>
  <c r="I515" i="48"/>
  <c r="H515" i="48"/>
  <c r="I514" i="48"/>
  <c r="H514" i="48"/>
  <c r="M514" i="48" s="1"/>
  <c r="I513" i="48"/>
  <c r="H513" i="48"/>
  <c r="M513" i="48" s="1"/>
  <c r="I512" i="48"/>
  <c r="H512" i="48"/>
  <c r="M512" i="48" s="1"/>
  <c r="I511" i="48"/>
  <c r="H511" i="48"/>
  <c r="M511" i="48" s="1"/>
  <c r="I510" i="48"/>
  <c r="H510" i="48"/>
  <c r="M510" i="48" s="1"/>
  <c r="I509" i="48"/>
  <c r="H509" i="48"/>
  <c r="M509" i="48" s="1"/>
  <c r="I508" i="48"/>
  <c r="H508" i="48"/>
  <c r="M508" i="48" s="1"/>
  <c r="M507" i="48"/>
  <c r="I507" i="48"/>
  <c r="H507" i="48"/>
  <c r="I506" i="48"/>
  <c r="H506" i="48"/>
  <c r="M506" i="48" s="1"/>
  <c r="I505" i="48"/>
  <c r="H505" i="48"/>
  <c r="M505" i="48" s="1"/>
  <c r="I504" i="48"/>
  <c r="H504" i="48"/>
  <c r="M504" i="48" s="1"/>
  <c r="I503" i="48"/>
  <c r="H503" i="48"/>
  <c r="M503" i="48" s="1"/>
  <c r="I323" i="48"/>
  <c r="H323" i="48"/>
  <c r="M323" i="48" s="1"/>
  <c r="I322" i="48"/>
  <c r="H322" i="48"/>
  <c r="M322" i="48" s="1"/>
  <c r="I321" i="48"/>
  <c r="H321" i="48"/>
  <c r="M321" i="48" s="1"/>
  <c r="I320" i="48"/>
  <c r="H320" i="48"/>
  <c r="M320" i="48" s="1"/>
  <c r="I319" i="48"/>
  <c r="H319" i="48"/>
  <c r="M319" i="48" s="1"/>
  <c r="I318" i="48"/>
  <c r="H318" i="48"/>
  <c r="M318" i="48" s="1"/>
  <c r="I317" i="48"/>
  <c r="H317" i="48"/>
  <c r="M317" i="48" s="1"/>
  <c r="I316" i="48"/>
  <c r="H316" i="48"/>
  <c r="M316" i="48" s="1"/>
  <c r="M315" i="48"/>
  <c r="I315" i="48"/>
  <c r="H315" i="48"/>
  <c r="I314" i="48"/>
  <c r="H314" i="48"/>
  <c r="M314" i="48" s="1"/>
  <c r="I313" i="48"/>
  <c r="H313" i="48"/>
  <c r="M313" i="48" s="1"/>
  <c r="M312" i="48"/>
  <c r="I312" i="48"/>
  <c r="H312" i="48"/>
  <c r="I311" i="48"/>
  <c r="H311" i="48"/>
  <c r="M311" i="48" s="1"/>
  <c r="I310" i="48"/>
  <c r="H310" i="48"/>
  <c r="M310" i="48" s="1"/>
  <c r="I174" i="48"/>
  <c r="H174" i="48"/>
  <c r="M174" i="48" s="1"/>
  <c r="I173" i="48"/>
  <c r="H173" i="48"/>
  <c r="M173" i="48" s="1"/>
  <c r="I172" i="48"/>
  <c r="H172" i="48"/>
  <c r="M172" i="48" s="1"/>
  <c r="I171" i="48"/>
  <c r="H171" i="48"/>
  <c r="M171" i="48" s="1"/>
  <c r="I170" i="48"/>
  <c r="H170" i="48"/>
  <c r="M170" i="48" s="1"/>
  <c r="I169" i="48"/>
  <c r="H169" i="48"/>
  <c r="M169" i="48" s="1"/>
  <c r="I168" i="48"/>
  <c r="H168" i="48"/>
  <c r="M168" i="48" s="1"/>
  <c r="I167" i="48"/>
  <c r="H167" i="48"/>
  <c r="M167" i="48" s="1"/>
  <c r="I166" i="48"/>
  <c r="H166" i="48"/>
  <c r="M166" i="48" s="1"/>
  <c r="I165" i="48"/>
  <c r="H165" i="48"/>
  <c r="M165" i="48" s="1"/>
  <c r="M164" i="48"/>
  <c r="I164" i="48"/>
  <c r="H164" i="48"/>
  <c r="I163" i="48"/>
  <c r="H163" i="48"/>
  <c r="M163" i="48" s="1"/>
  <c r="I162" i="48"/>
  <c r="H162" i="48"/>
  <c r="M162" i="48" s="1"/>
  <c r="I161" i="48"/>
  <c r="H161" i="48"/>
  <c r="M161" i="48" s="1"/>
  <c r="M679" i="48"/>
  <c r="I679" i="48"/>
  <c r="H679" i="48"/>
  <c r="I678" i="48"/>
  <c r="H678" i="48"/>
  <c r="M678" i="48" s="1"/>
  <c r="I677" i="48"/>
  <c r="H677" i="48"/>
  <c r="M677" i="48" s="1"/>
  <c r="I676" i="48"/>
  <c r="H676" i="48"/>
  <c r="M676" i="48" s="1"/>
  <c r="I675" i="48"/>
  <c r="H675" i="48"/>
  <c r="M675" i="48" s="1"/>
  <c r="I674" i="48"/>
  <c r="H674" i="48"/>
  <c r="M674" i="48" s="1"/>
  <c r="I673" i="48"/>
  <c r="H673" i="48"/>
  <c r="M673" i="48" s="1"/>
  <c r="I672" i="48"/>
  <c r="H672" i="48"/>
  <c r="M672" i="48" s="1"/>
  <c r="I671" i="48"/>
  <c r="H671" i="48"/>
  <c r="M671" i="48" s="1"/>
  <c r="M670" i="48"/>
  <c r="I670" i="48"/>
  <c r="H670" i="48"/>
  <c r="I669" i="48"/>
  <c r="H669" i="48"/>
  <c r="M669" i="48" s="1"/>
  <c r="I668" i="48"/>
  <c r="H668" i="48"/>
  <c r="M668" i="48" s="1"/>
  <c r="I667" i="48"/>
  <c r="H667" i="48"/>
  <c r="M667" i="48" s="1"/>
  <c r="M666" i="48"/>
  <c r="I666" i="48"/>
  <c r="H666" i="48"/>
  <c r="I502" i="48"/>
  <c r="H502" i="48"/>
  <c r="M502" i="48" s="1"/>
  <c r="I501" i="48"/>
  <c r="H501" i="48"/>
  <c r="M501" i="48" s="1"/>
  <c r="I500" i="48"/>
  <c r="H500" i="48"/>
  <c r="M500" i="48" s="1"/>
  <c r="I499" i="48"/>
  <c r="H499" i="48"/>
  <c r="M499" i="48" s="1"/>
  <c r="I498" i="48"/>
  <c r="H498" i="48"/>
  <c r="M498" i="48" s="1"/>
  <c r="I497" i="48"/>
  <c r="H497" i="48"/>
  <c r="M497" i="48" s="1"/>
  <c r="I496" i="48"/>
  <c r="H496" i="48"/>
  <c r="M496" i="48" s="1"/>
  <c r="M495" i="48"/>
  <c r="I495" i="48"/>
  <c r="H495" i="48"/>
  <c r="I494" i="48"/>
  <c r="H494" i="48"/>
  <c r="M494" i="48" s="1"/>
  <c r="I493" i="48"/>
  <c r="H493" i="48"/>
  <c r="M493" i="48" s="1"/>
  <c r="I492" i="48"/>
  <c r="H492" i="48"/>
  <c r="M492" i="48" s="1"/>
  <c r="I491" i="48"/>
  <c r="H491" i="48"/>
  <c r="M491" i="48" s="1"/>
  <c r="I490" i="48"/>
  <c r="H490" i="48"/>
  <c r="M490" i="48" s="1"/>
  <c r="I489" i="48"/>
  <c r="H489" i="48"/>
  <c r="M489" i="48" s="1"/>
  <c r="I488" i="48"/>
  <c r="H488" i="48"/>
  <c r="M488" i="48" s="1"/>
  <c r="I487" i="48"/>
  <c r="H487" i="48"/>
  <c r="M487" i="48" s="1"/>
  <c r="I486" i="48"/>
  <c r="H486" i="48"/>
  <c r="M486" i="48" s="1"/>
  <c r="I485" i="48"/>
  <c r="H485" i="48"/>
  <c r="M485" i="48" s="1"/>
  <c r="I484" i="48"/>
  <c r="H484" i="48"/>
  <c r="M484" i="48" s="1"/>
  <c r="I309" i="48"/>
  <c r="H309" i="48"/>
  <c r="M309" i="48" s="1"/>
  <c r="I308" i="48"/>
  <c r="H308" i="48"/>
  <c r="M308" i="48" s="1"/>
  <c r="I307" i="48"/>
  <c r="H307" i="48"/>
  <c r="M307" i="48" s="1"/>
  <c r="I306" i="48"/>
  <c r="H306" i="48"/>
  <c r="M306" i="48" s="1"/>
  <c r="I305" i="48"/>
  <c r="H305" i="48"/>
  <c r="M305" i="48" s="1"/>
  <c r="I304" i="48"/>
  <c r="H304" i="48"/>
  <c r="M304" i="48" s="1"/>
  <c r="I303" i="48"/>
  <c r="H303" i="48"/>
  <c r="M303" i="48" s="1"/>
  <c r="I302" i="48"/>
  <c r="H302" i="48"/>
  <c r="M302" i="48" s="1"/>
  <c r="I301" i="48"/>
  <c r="H301" i="48"/>
  <c r="M301" i="48" s="1"/>
  <c r="I300" i="48"/>
  <c r="H300" i="48"/>
  <c r="M300" i="48" s="1"/>
  <c r="M160" i="48"/>
  <c r="I160" i="48"/>
  <c r="H160" i="48"/>
  <c r="I159" i="48"/>
  <c r="H159" i="48"/>
  <c r="M159" i="48" s="1"/>
  <c r="I158" i="48"/>
  <c r="H158" i="48"/>
  <c r="M158" i="48" s="1"/>
  <c r="I157" i="48"/>
  <c r="H157" i="48"/>
  <c r="M157" i="48" s="1"/>
  <c r="I156" i="48"/>
  <c r="H156" i="48"/>
  <c r="M156" i="48" s="1"/>
  <c r="I155" i="48"/>
  <c r="H155" i="48"/>
  <c r="M155" i="48" s="1"/>
  <c r="M154" i="48"/>
  <c r="I154" i="48"/>
  <c r="H154" i="48"/>
  <c r="I153" i="48"/>
  <c r="H153" i="48"/>
  <c r="M153" i="48" s="1"/>
  <c r="I152" i="48"/>
  <c r="H152" i="48"/>
  <c r="M152" i="48" s="1"/>
  <c r="I151" i="48"/>
  <c r="H151" i="48"/>
  <c r="M151" i="48" s="1"/>
  <c r="I150" i="48"/>
  <c r="H150" i="48"/>
  <c r="M150" i="48" s="1"/>
  <c r="I149" i="48"/>
  <c r="H149" i="48"/>
  <c r="M149" i="48" s="1"/>
  <c r="I148" i="48"/>
  <c r="H148" i="48"/>
  <c r="M148" i="48" s="1"/>
  <c r="I147" i="48"/>
  <c r="H147" i="48"/>
  <c r="M147" i="48" s="1"/>
  <c r="I146" i="48"/>
  <c r="H146" i="48"/>
  <c r="M146" i="48" s="1"/>
  <c r="I145" i="48"/>
  <c r="H145" i="48"/>
  <c r="M145" i="48" s="1"/>
  <c r="I144" i="48"/>
  <c r="H144" i="48"/>
  <c r="M144" i="48" s="1"/>
  <c r="I143" i="48"/>
  <c r="H143" i="48"/>
  <c r="M143" i="48" s="1"/>
  <c r="I142" i="48"/>
  <c r="H142" i="48"/>
  <c r="M142" i="48" s="1"/>
  <c r="I141" i="48"/>
  <c r="H141" i="48"/>
  <c r="M141" i="48" s="1"/>
  <c r="I140" i="48"/>
  <c r="H140" i="48"/>
  <c r="M140" i="48" s="1"/>
  <c r="I665" i="48"/>
  <c r="H665" i="48"/>
  <c r="M665" i="48" s="1"/>
  <c r="I664" i="48"/>
  <c r="H664" i="48"/>
  <c r="M664" i="48" s="1"/>
  <c r="I663" i="48"/>
  <c r="H663" i="48"/>
  <c r="M663" i="48" s="1"/>
  <c r="I662" i="48"/>
  <c r="H662" i="48"/>
  <c r="M662" i="48" s="1"/>
  <c r="I661" i="48"/>
  <c r="H661" i="48"/>
  <c r="M661" i="48" s="1"/>
  <c r="H660" i="48"/>
  <c r="M660" i="48" s="1"/>
  <c r="I659" i="48"/>
  <c r="H659" i="48"/>
  <c r="M659" i="48" s="1"/>
  <c r="I658" i="48"/>
  <c r="H658" i="48"/>
  <c r="M658" i="48" s="1"/>
  <c r="M657" i="48"/>
  <c r="I657" i="48"/>
  <c r="H657" i="48"/>
  <c r="I656" i="48"/>
  <c r="H656" i="48"/>
  <c r="M656" i="48" s="1"/>
  <c r="I655" i="48"/>
  <c r="H655" i="48"/>
  <c r="M655" i="48" s="1"/>
  <c r="H654" i="48"/>
  <c r="M654" i="48" s="1"/>
  <c r="I653" i="48"/>
  <c r="H653" i="48"/>
  <c r="M653" i="48" s="1"/>
  <c r="I652" i="48"/>
  <c r="H652" i="48"/>
  <c r="M652" i="48" s="1"/>
  <c r="I651" i="48"/>
  <c r="H651" i="48"/>
  <c r="M651" i="48" s="1"/>
  <c r="I483" i="48"/>
  <c r="H483" i="48"/>
  <c r="M483" i="48" s="1"/>
  <c r="M482" i="48"/>
  <c r="I482" i="48"/>
  <c r="H482" i="48"/>
  <c r="I481" i="48"/>
  <c r="H481" i="48"/>
  <c r="M481" i="48" s="1"/>
  <c r="I480" i="48"/>
  <c r="H480" i="48"/>
  <c r="M480" i="48" s="1"/>
  <c r="I479" i="48"/>
  <c r="H479" i="48"/>
  <c r="M479" i="48" s="1"/>
  <c r="I478" i="48"/>
  <c r="H478" i="48"/>
  <c r="M478" i="48" s="1"/>
  <c r="I477" i="48"/>
  <c r="H477" i="48"/>
  <c r="M477" i="48" s="1"/>
  <c r="I476" i="48"/>
  <c r="H476" i="48"/>
  <c r="M476" i="48" s="1"/>
  <c r="I475" i="48"/>
  <c r="H475" i="48"/>
  <c r="M475" i="48" s="1"/>
  <c r="I474" i="48"/>
  <c r="H474" i="48"/>
  <c r="M474" i="48" s="1"/>
  <c r="I473" i="48"/>
  <c r="H473" i="48"/>
  <c r="M473" i="48" s="1"/>
  <c r="I472" i="48"/>
  <c r="H472" i="48"/>
  <c r="M472" i="48" s="1"/>
  <c r="I471" i="48"/>
  <c r="H471" i="48"/>
  <c r="M471" i="48" s="1"/>
  <c r="I299" i="48"/>
  <c r="H299" i="48"/>
  <c r="M299" i="48" s="1"/>
  <c r="I298" i="48"/>
  <c r="H298" i="48"/>
  <c r="M298" i="48" s="1"/>
  <c r="I297" i="48"/>
  <c r="H297" i="48"/>
  <c r="M297" i="48" s="1"/>
  <c r="I296" i="48"/>
  <c r="H296" i="48"/>
  <c r="M296" i="48" s="1"/>
  <c r="I295" i="48"/>
  <c r="H295" i="48"/>
  <c r="M295" i="48" s="1"/>
  <c r="I294" i="48"/>
  <c r="H294" i="48"/>
  <c r="M294" i="48" s="1"/>
  <c r="I293" i="48"/>
  <c r="H293" i="48"/>
  <c r="M293" i="48" s="1"/>
  <c r="I292" i="48"/>
  <c r="H292" i="48"/>
  <c r="M292" i="48" s="1"/>
  <c r="M291" i="48"/>
  <c r="I291" i="48"/>
  <c r="H291" i="48"/>
  <c r="I290" i="48"/>
  <c r="H290" i="48"/>
  <c r="M290" i="48" s="1"/>
  <c r="I289" i="48"/>
  <c r="H289" i="48"/>
  <c r="M289" i="48" s="1"/>
  <c r="I288" i="48"/>
  <c r="H288" i="48"/>
  <c r="M288" i="48" s="1"/>
  <c r="I139" i="48"/>
  <c r="H139" i="48"/>
  <c r="M139" i="48" s="1"/>
  <c r="I138" i="48"/>
  <c r="H138" i="48"/>
  <c r="M138" i="48" s="1"/>
  <c r="I137" i="48"/>
  <c r="H137" i="48"/>
  <c r="M137" i="48" s="1"/>
  <c r="I136" i="48"/>
  <c r="H136" i="48"/>
  <c r="M136" i="48" s="1"/>
  <c r="I135" i="48"/>
  <c r="H135" i="48"/>
  <c r="M135" i="48" s="1"/>
  <c r="I134" i="48"/>
  <c r="H134" i="48"/>
  <c r="M134" i="48" s="1"/>
  <c r="I133" i="48"/>
  <c r="H133" i="48"/>
  <c r="M133" i="48" s="1"/>
  <c r="I132" i="48"/>
  <c r="H132" i="48"/>
  <c r="M132" i="48" s="1"/>
  <c r="I131" i="48"/>
  <c r="H131" i="48"/>
  <c r="M131" i="48" s="1"/>
  <c r="M130" i="48"/>
  <c r="I130" i="48"/>
  <c r="H130" i="48"/>
  <c r="I129" i="48"/>
  <c r="H129" i="48"/>
  <c r="M129" i="48" s="1"/>
  <c r="I128" i="48"/>
  <c r="H128" i="48"/>
  <c r="M128" i="48" s="1"/>
  <c r="I127" i="48"/>
  <c r="H127" i="48"/>
  <c r="M127" i="48" s="1"/>
  <c r="I126" i="48"/>
  <c r="H126" i="48"/>
  <c r="M126" i="48" s="1"/>
  <c r="I125" i="48"/>
  <c r="H125" i="48"/>
  <c r="M125" i="48" s="1"/>
  <c r="I124" i="48"/>
  <c r="H124" i="48"/>
  <c r="M124" i="48" s="1"/>
  <c r="I123" i="48"/>
  <c r="H123" i="48"/>
  <c r="M123" i="48" s="1"/>
  <c r="I122" i="48"/>
  <c r="H122" i="48"/>
  <c r="M122" i="48" s="1"/>
  <c r="I121" i="48"/>
  <c r="H121" i="48"/>
  <c r="M121" i="48" s="1"/>
  <c r="I120" i="48"/>
  <c r="H120" i="48"/>
  <c r="M120" i="48" s="1"/>
  <c r="I650" i="48"/>
  <c r="H650" i="48"/>
  <c r="M650" i="48" s="1"/>
  <c r="I649" i="48"/>
  <c r="H649" i="48"/>
  <c r="M649" i="48" s="1"/>
  <c r="I648" i="48"/>
  <c r="H648" i="48"/>
  <c r="M648" i="48" s="1"/>
  <c r="I647" i="48"/>
  <c r="H647" i="48"/>
  <c r="M647" i="48" s="1"/>
  <c r="I646" i="48"/>
  <c r="H646" i="48"/>
  <c r="M646" i="48" s="1"/>
  <c r="I645" i="48"/>
  <c r="H645" i="48"/>
  <c r="M645" i="48" s="1"/>
  <c r="I644" i="48"/>
  <c r="H644" i="48"/>
  <c r="M644" i="48" s="1"/>
  <c r="I643" i="48"/>
  <c r="H643" i="48"/>
  <c r="M643" i="48" s="1"/>
  <c r="I642" i="48"/>
  <c r="H642" i="48"/>
  <c r="M642" i="48" s="1"/>
  <c r="I641" i="48"/>
  <c r="H641" i="48"/>
  <c r="M641" i="48" s="1"/>
  <c r="I640" i="48"/>
  <c r="H640" i="48"/>
  <c r="M640" i="48" s="1"/>
  <c r="I639" i="48"/>
  <c r="H639" i="48"/>
  <c r="M639" i="48" s="1"/>
  <c r="I638" i="48"/>
  <c r="H638" i="48"/>
  <c r="M638" i="48" s="1"/>
  <c r="I470" i="48"/>
  <c r="H470" i="48"/>
  <c r="M470" i="48" s="1"/>
  <c r="I469" i="48"/>
  <c r="H469" i="48"/>
  <c r="M469" i="48" s="1"/>
  <c r="I468" i="48"/>
  <c r="H468" i="48"/>
  <c r="M468" i="48" s="1"/>
  <c r="I467" i="48"/>
  <c r="H467" i="48"/>
  <c r="M467" i="48" s="1"/>
  <c r="I466" i="48"/>
  <c r="H466" i="48"/>
  <c r="M466" i="48" s="1"/>
  <c r="I465" i="48"/>
  <c r="H465" i="48"/>
  <c r="M465" i="48" s="1"/>
  <c r="I464" i="48"/>
  <c r="H464" i="48"/>
  <c r="M464" i="48" s="1"/>
  <c r="I463" i="48"/>
  <c r="H463" i="48"/>
  <c r="M463" i="48" s="1"/>
  <c r="M462" i="48"/>
  <c r="I462" i="48"/>
  <c r="H462" i="48"/>
  <c r="I461" i="48"/>
  <c r="H461" i="48"/>
  <c r="M461" i="48" s="1"/>
  <c r="I460" i="48"/>
  <c r="H460" i="48"/>
  <c r="M460" i="48" s="1"/>
  <c r="I459" i="48"/>
  <c r="H459" i="48"/>
  <c r="M459" i="48" s="1"/>
  <c r="I458" i="48"/>
  <c r="H458" i="48"/>
  <c r="M458" i="48" s="1"/>
  <c r="I457" i="48"/>
  <c r="H457" i="48"/>
  <c r="M457" i="48" s="1"/>
  <c r="I456" i="48"/>
  <c r="H456" i="48"/>
  <c r="M456" i="48" s="1"/>
  <c r="M455" i="48"/>
  <c r="I455" i="48"/>
  <c r="H455" i="48"/>
  <c r="I454" i="48"/>
  <c r="H454" i="48"/>
  <c r="M454" i="48" s="1"/>
  <c r="I453" i="48"/>
  <c r="H453" i="48"/>
  <c r="M453" i="48" s="1"/>
  <c r="I287" i="48"/>
  <c r="H287" i="48"/>
  <c r="M287" i="48" s="1"/>
  <c r="I286" i="48"/>
  <c r="H286" i="48"/>
  <c r="M286" i="48" s="1"/>
  <c r="I285" i="48"/>
  <c r="H285" i="48"/>
  <c r="M285" i="48" s="1"/>
  <c r="I284" i="48"/>
  <c r="H284" i="48"/>
  <c r="M284" i="48" s="1"/>
  <c r="I283" i="48"/>
  <c r="H283" i="48"/>
  <c r="M283" i="48" s="1"/>
  <c r="I282" i="48"/>
  <c r="H282" i="48"/>
  <c r="M282" i="48" s="1"/>
  <c r="I281" i="48"/>
  <c r="H281" i="48"/>
  <c r="M281" i="48" s="1"/>
  <c r="I280" i="48"/>
  <c r="H280" i="48"/>
  <c r="M280" i="48" s="1"/>
  <c r="I279" i="48"/>
  <c r="H279" i="48"/>
  <c r="M279" i="48" s="1"/>
  <c r="I278" i="48"/>
  <c r="H278" i="48"/>
  <c r="M278" i="48" s="1"/>
  <c r="I277" i="48"/>
  <c r="H277" i="48"/>
  <c r="M277" i="48" s="1"/>
  <c r="I276" i="48"/>
  <c r="H276" i="48"/>
  <c r="M276" i="48" s="1"/>
  <c r="I275" i="48"/>
  <c r="H275" i="48"/>
  <c r="M275" i="48" s="1"/>
  <c r="I637" i="48"/>
  <c r="H637" i="48"/>
  <c r="M637" i="48" s="1"/>
  <c r="I119" i="48"/>
  <c r="H119" i="48"/>
  <c r="M119" i="48" s="1"/>
  <c r="I118" i="48"/>
  <c r="H118" i="48"/>
  <c r="M118" i="48" s="1"/>
  <c r="I117" i="48"/>
  <c r="H117" i="48"/>
  <c r="M117" i="48" s="1"/>
  <c r="I116" i="48"/>
  <c r="H116" i="48"/>
  <c r="M116" i="48" s="1"/>
  <c r="I115" i="48"/>
  <c r="H115" i="48"/>
  <c r="M115" i="48" s="1"/>
  <c r="I114" i="48"/>
  <c r="H114" i="48"/>
  <c r="M114" i="48" s="1"/>
  <c r="I113" i="48"/>
  <c r="H113" i="48"/>
  <c r="M113" i="48" s="1"/>
  <c r="I112" i="48"/>
  <c r="H112" i="48"/>
  <c r="M112" i="48" s="1"/>
  <c r="M111" i="48"/>
  <c r="I111" i="48"/>
  <c r="H111" i="48"/>
  <c r="I110" i="48"/>
  <c r="H110" i="48"/>
  <c r="M110" i="48" s="1"/>
  <c r="I636" i="48"/>
  <c r="H636" i="48"/>
  <c r="M636" i="48" s="1"/>
  <c r="I635" i="48"/>
  <c r="H635" i="48"/>
  <c r="M635" i="48" s="1"/>
  <c r="I634" i="48"/>
  <c r="H634" i="48"/>
  <c r="M634" i="48" s="1"/>
  <c r="I633" i="48"/>
  <c r="H633" i="48"/>
  <c r="M633" i="48" s="1"/>
  <c r="I632" i="48"/>
  <c r="H632" i="48"/>
  <c r="M632" i="48" s="1"/>
  <c r="M631" i="48"/>
  <c r="I631" i="48"/>
  <c r="H631" i="48"/>
  <c r="I630" i="48"/>
  <c r="H630" i="48"/>
  <c r="M630" i="48" s="1"/>
  <c r="I629" i="48"/>
  <c r="H629" i="48"/>
  <c r="M629" i="48" s="1"/>
  <c r="I628" i="48"/>
  <c r="H628" i="48"/>
  <c r="M628" i="48" s="1"/>
  <c r="I627" i="48"/>
  <c r="H627" i="48"/>
  <c r="M627" i="48" s="1"/>
  <c r="M626" i="48"/>
  <c r="I626" i="48"/>
  <c r="H626" i="48"/>
  <c r="I625" i="48"/>
  <c r="H625" i="48"/>
  <c r="M625" i="48" s="1"/>
  <c r="M452" i="48"/>
  <c r="I452" i="48"/>
  <c r="H452" i="48"/>
  <c r="M451" i="48"/>
  <c r="I451" i="48"/>
  <c r="H451" i="48"/>
  <c r="I450" i="48"/>
  <c r="H450" i="48"/>
  <c r="M450" i="48" s="1"/>
  <c r="I449" i="48"/>
  <c r="H449" i="48"/>
  <c r="M449" i="48" s="1"/>
  <c r="I448" i="48"/>
  <c r="H448" i="48"/>
  <c r="M448" i="48" s="1"/>
  <c r="I447" i="48"/>
  <c r="H447" i="48"/>
  <c r="M447" i="48" s="1"/>
  <c r="I446" i="48"/>
  <c r="H446" i="48"/>
  <c r="M446" i="48" s="1"/>
  <c r="I445" i="48"/>
  <c r="H445" i="48"/>
  <c r="M445" i="48" s="1"/>
  <c r="I444" i="48"/>
  <c r="H444" i="48"/>
  <c r="M444" i="48" s="1"/>
  <c r="M443" i="48"/>
  <c r="I443" i="48"/>
  <c r="H443" i="48"/>
  <c r="I442" i="48"/>
  <c r="H442" i="48"/>
  <c r="M442" i="48" s="1"/>
  <c r="I441" i="48"/>
  <c r="H441" i="48"/>
  <c r="M441" i="48" s="1"/>
  <c r="I440" i="48"/>
  <c r="H440" i="48"/>
  <c r="M440" i="48" s="1"/>
  <c r="I439" i="48"/>
  <c r="H439" i="48"/>
  <c r="M439" i="48" s="1"/>
  <c r="M438" i="48"/>
  <c r="I438" i="48"/>
  <c r="H438" i="48"/>
  <c r="I437" i="48"/>
  <c r="H437" i="48"/>
  <c r="M437" i="48" s="1"/>
  <c r="I274" i="48"/>
  <c r="H274" i="48"/>
  <c r="M274" i="48" s="1"/>
  <c r="M273" i="48"/>
  <c r="I273" i="48"/>
  <c r="H273" i="48"/>
  <c r="I272" i="48"/>
  <c r="H272" i="48"/>
  <c r="M272" i="48" s="1"/>
  <c r="I271" i="48"/>
  <c r="H271" i="48"/>
  <c r="M271" i="48" s="1"/>
  <c r="I270" i="48"/>
  <c r="H270" i="48"/>
  <c r="M270" i="48" s="1"/>
  <c r="I269" i="48"/>
  <c r="H269" i="48"/>
  <c r="M269" i="48" s="1"/>
  <c r="I268" i="48"/>
  <c r="H268" i="48"/>
  <c r="M268" i="48" s="1"/>
  <c r="I267" i="48"/>
  <c r="H267" i="48"/>
  <c r="M267" i="48" s="1"/>
  <c r="I266" i="48"/>
  <c r="H266" i="48"/>
  <c r="M266" i="48" s="1"/>
  <c r="I265" i="48"/>
  <c r="H265" i="48"/>
  <c r="M265" i="48" s="1"/>
  <c r="I264" i="48"/>
  <c r="H264" i="48"/>
  <c r="M264" i="48" s="1"/>
  <c r="I263" i="48"/>
  <c r="H263" i="48"/>
  <c r="M263" i="48" s="1"/>
  <c r="I262" i="48"/>
  <c r="H262" i="48"/>
  <c r="M262" i="48" s="1"/>
  <c r="I109" i="48"/>
  <c r="H109" i="48"/>
  <c r="M109" i="48" s="1"/>
  <c r="I108" i="48"/>
  <c r="H108" i="48"/>
  <c r="M108" i="48" s="1"/>
  <c r="I107" i="48"/>
  <c r="H107" i="48"/>
  <c r="M107" i="48" s="1"/>
  <c r="I106" i="48"/>
  <c r="H106" i="48"/>
  <c r="M106" i="48" s="1"/>
  <c r="I105" i="48"/>
  <c r="H105" i="48"/>
  <c r="M105" i="48" s="1"/>
  <c r="I104" i="48"/>
  <c r="H104" i="48"/>
  <c r="M104" i="48" s="1"/>
  <c r="I103" i="48"/>
  <c r="H103" i="48"/>
  <c r="M103" i="48" s="1"/>
  <c r="I102" i="48"/>
  <c r="H102" i="48"/>
  <c r="M102" i="48" s="1"/>
  <c r="I101" i="48"/>
  <c r="H101" i="48"/>
  <c r="M101" i="48" s="1"/>
  <c r="I100" i="48"/>
  <c r="H100" i="48"/>
  <c r="M100" i="48" s="1"/>
  <c r="I99" i="48"/>
  <c r="H99" i="48"/>
  <c r="M99" i="48" s="1"/>
  <c r="I98" i="48"/>
  <c r="H98" i="48"/>
  <c r="M98" i="48" s="1"/>
  <c r="M97" i="48"/>
  <c r="I97" i="48"/>
  <c r="H97" i="48"/>
  <c r="I96" i="48"/>
  <c r="H96" i="48"/>
  <c r="M96" i="48" s="1"/>
  <c r="I95" i="48"/>
  <c r="H95" i="48"/>
  <c r="M95" i="48" s="1"/>
  <c r="I94" i="48"/>
  <c r="H94" i="48"/>
  <c r="M94" i="48" s="1"/>
  <c r="I93" i="48"/>
  <c r="H93" i="48"/>
  <c r="M93" i="48" s="1"/>
  <c r="I624" i="48"/>
  <c r="H624" i="48"/>
  <c r="M624" i="48" s="1"/>
  <c r="I623" i="48"/>
  <c r="H623" i="48"/>
  <c r="M623" i="48" s="1"/>
  <c r="I622" i="48"/>
  <c r="H622" i="48"/>
  <c r="M622" i="48" s="1"/>
  <c r="I621" i="48"/>
  <c r="H621" i="48"/>
  <c r="M621" i="48" s="1"/>
  <c r="I620" i="48"/>
  <c r="H620" i="48"/>
  <c r="M620" i="48" s="1"/>
  <c r="I619" i="48"/>
  <c r="H619" i="48"/>
  <c r="M619" i="48" s="1"/>
  <c r="I618" i="48"/>
  <c r="H618" i="48"/>
  <c r="M618" i="48" s="1"/>
  <c r="I617" i="48"/>
  <c r="H617" i="48"/>
  <c r="M617" i="48" s="1"/>
  <c r="I616" i="48"/>
  <c r="H616" i="48"/>
  <c r="M616" i="48" s="1"/>
  <c r="I615" i="48"/>
  <c r="H615" i="48"/>
  <c r="M615" i="48" s="1"/>
  <c r="I614" i="48"/>
  <c r="H614" i="48"/>
  <c r="M614" i="48" s="1"/>
  <c r="I613" i="48"/>
  <c r="H613" i="48"/>
  <c r="M613" i="48" s="1"/>
  <c r="I612" i="48"/>
  <c r="H612" i="48"/>
  <c r="M612" i="48" s="1"/>
  <c r="I436" i="48"/>
  <c r="H436" i="48"/>
  <c r="M436" i="48" s="1"/>
  <c r="I435" i="48"/>
  <c r="H435" i="48"/>
  <c r="M435" i="48" s="1"/>
  <c r="I434" i="48"/>
  <c r="H434" i="48"/>
  <c r="M434" i="48" s="1"/>
  <c r="I433" i="48"/>
  <c r="H433" i="48"/>
  <c r="M433" i="48" s="1"/>
  <c r="I432" i="48"/>
  <c r="H432" i="48"/>
  <c r="M432" i="48" s="1"/>
  <c r="I431" i="48"/>
  <c r="H431" i="48"/>
  <c r="M431" i="48" s="1"/>
  <c r="I430" i="48"/>
  <c r="H430" i="48"/>
  <c r="M430" i="48" s="1"/>
  <c r="I429" i="48"/>
  <c r="H429" i="48"/>
  <c r="M429" i="48" s="1"/>
  <c r="I428" i="48"/>
  <c r="H428" i="48"/>
  <c r="M428" i="48" s="1"/>
  <c r="I427" i="48"/>
  <c r="H427" i="48"/>
  <c r="M427" i="48" s="1"/>
  <c r="I426" i="48"/>
  <c r="H426" i="48"/>
  <c r="M426" i="48" s="1"/>
  <c r="I425" i="48"/>
  <c r="H425" i="48"/>
  <c r="M425" i="48" s="1"/>
  <c r="I424" i="48"/>
  <c r="H424" i="48"/>
  <c r="M424" i="48" s="1"/>
  <c r="I423" i="48"/>
  <c r="H423" i="48"/>
  <c r="M423" i="48" s="1"/>
  <c r="M261" i="48"/>
  <c r="I261" i="48"/>
  <c r="H261" i="48"/>
  <c r="I260" i="48"/>
  <c r="H260" i="48"/>
  <c r="M260" i="48" s="1"/>
  <c r="H259" i="48"/>
  <c r="M259" i="48" s="1"/>
  <c r="I258" i="48"/>
  <c r="H258" i="48"/>
  <c r="M258" i="48" s="1"/>
  <c r="I257" i="48"/>
  <c r="H257" i="48"/>
  <c r="M257" i="48" s="1"/>
  <c r="I256" i="48"/>
  <c r="H256" i="48"/>
  <c r="M256" i="48" s="1"/>
  <c r="I255" i="48"/>
  <c r="H255" i="48"/>
  <c r="M255" i="48" s="1"/>
  <c r="I254" i="48"/>
  <c r="H254" i="48"/>
  <c r="M254" i="48" s="1"/>
  <c r="I253" i="48"/>
  <c r="H253" i="48"/>
  <c r="M253" i="48" s="1"/>
  <c r="I252" i="48"/>
  <c r="H252" i="48"/>
  <c r="M252" i="48" s="1"/>
  <c r="I251" i="48"/>
  <c r="H251" i="48"/>
  <c r="M251" i="48" s="1"/>
  <c r="I611" i="48"/>
  <c r="H611" i="48"/>
  <c r="M611" i="48" s="1"/>
  <c r="I610" i="48"/>
  <c r="H610" i="48"/>
  <c r="M610" i="48" s="1"/>
  <c r="I92" i="48"/>
  <c r="H92" i="48"/>
  <c r="M92" i="48" s="1"/>
  <c r="I91" i="48"/>
  <c r="H91" i="48"/>
  <c r="M91" i="48" s="1"/>
  <c r="I90" i="48"/>
  <c r="H90" i="48"/>
  <c r="M90" i="48" s="1"/>
  <c r="I89" i="48"/>
  <c r="H89" i="48"/>
  <c r="M89" i="48" s="1"/>
  <c r="I88" i="48"/>
  <c r="H88" i="48"/>
  <c r="M88" i="48" s="1"/>
  <c r="I87" i="48"/>
  <c r="H87" i="48"/>
  <c r="M87" i="48" s="1"/>
  <c r="I86" i="48"/>
  <c r="H86" i="48"/>
  <c r="M86" i="48" s="1"/>
  <c r="I85" i="48"/>
  <c r="H85" i="48"/>
  <c r="M85" i="48" s="1"/>
  <c r="I84" i="48"/>
  <c r="H84" i="48"/>
  <c r="M84" i="48" s="1"/>
  <c r="I83" i="48"/>
  <c r="H83" i="48"/>
  <c r="M83" i="48" s="1"/>
  <c r="I82" i="48"/>
  <c r="H82" i="48"/>
  <c r="M82" i="48" s="1"/>
  <c r="I81" i="48"/>
  <c r="H81" i="48"/>
  <c r="M81" i="48" s="1"/>
  <c r="I80" i="48"/>
  <c r="H80" i="48"/>
  <c r="M80" i="48" s="1"/>
  <c r="M79" i="48"/>
  <c r="I79" i="48"/>
  <c r="H79" i="48"/>
  <c r="I78" i="48"/>
  <c r="H78" i="48"/>
  <c r="M78" i="48" s="1"/>
  <c r="I77" i="48"/>
  <c r="H77" i="48"/>
  <c r="M77" i="48" s="1"/>
  <c r="M76" i="48"/>
  <c r="I76" i="48"/>
  <c r="H76" i="48"/>
  <c r="H75" i="48"/>
  <c r="M75" i="48" s="1"/>
  <c r="I74" i="48"/>
  <c r="H74" i="48"/>
  <c r="M74" i="48" s="1"/>
  <c r="I609" i="48"/>
  <c r="H609" i="48"/>
  <c r="M609" i="48" s="1"/>
  <c r="M608" i="48"/>
  <c r="I608" i="48"/>
  <c r="H608" i="48"/>
  <c r="I607" i="48"/>
  <c r="H607" i="48"/>
  <c r="M607" i="48" s="1"/>
  <c r="I606" i="48"/>
  <c r="H606" i="48"/>
  <c r="M606" i="48" s="1"/>
  <c r="I605" i="48"/>
  <c r="H605" i="48"/>
  <c r="M605" i="48" s="1"/>
  <c r="I604" i="48"/>
  <c r="H604" i="48"/>
  <c r="M604" i="48" s="1"/>
  <c r="I603" i="48"/>
  <c r="H603" i="48"/>
  <c r="M603" i="48" s="1"/>
  <c r="I602" i="48"/>
  <c r="H602" i="48"/>
  <c r="M602" i="48" s="1"/>
  <c r="I601" i="48"/>
  <c r="H601" i="48"/>
  <c r="M601" i="48" s="1"/>
  <c r="I600" i="48"/>
  <c r="H600" i="48"/>
  <c r="M600" i="48" s="1"/>
  <c r="I599" i="48"/>
  <c r="H599" i="48"/>
  <c r="M599" i="48" s="1"/>
  <c r="I598" i="48"/>
  <c r="H598" i="48"/>
  <c r="M598" i="48" s="1"/>
  <c r="I597" i="48"/>
  <c r="H597" i="48"/>
  <c r="M597" i="48" s="1"/>
  <c r="I596" i="48"/>
  <c r="H596" i="48"/>
  <c r="M596" i="48" s="1"/>
  <c r="I422" i="48"/>
  <c r="H422" i="48"/>
  <c r="M422" i="48" s="1"/>
  <c r="I421" i="48"/>
  <c r="H421" i="48"/>
  <c r="M421" i="48" s="1"/>
  <c r="I420" i="48"/>
  <c r="H420" i="48"/>
  <c r="M420" i="48" s="1"/>
  <c r="I419" i="48"/>
  <c r="H419" i="48"/>
  <c r="M419" i="48" s="1"/>
  <c r="I418" i="48"/>
  <c r="H418" i="48"/>
  <c r="M418" i="48" s="1"/>
  <c r="I417" i="48"/>
  <c r="H417" i="48"/>
  <c r="M417" i="48" s="1"/>
  <c r="I416" i="48"/>
  <c r="H416" i="48"/>
  <c r="M416" i="48" s="1"/>
  <c r="I415" i="48"/>
  <c r="H415" i="48"/>
  <c r="M415" i="48" s="1"/>
  <c r="I414" i="48"/>
  <c r="H414" i="48"/>
  <c r="M414" i="48" s="1"/>
  <c r="I413" i="48"/>
  <c r="H413" i="48"/>
  <c r="M413" i="48" s="1"/>
  <c r="M412" i="48"/>
  <c r="I412" i="48"/>
  <c r="H412" i="48"/>
  <c r="I411" i="48"/>
  <c r="H411" i="48"/>
  <c r="M411" i="48" s="1"/>
  <c r="I410" i="48"/>
  <c r="H410" i="48"/>
  <c r="M410" i="48" s="1"/>
  <c r="I409" i="48"/>
  <c r="H409" i="48"/>
  <c r="M409" i="48" s="1"/>
  <c r="I408" i="48"/>
  <c r="H408" i="48"/>
  <c r="M408" i="48" s="1"/>
  <c r="I407" i="48"/>
  <c r="H407" i="48"/>
  <c r="M407" i="48" s="1"/>
  <c r="I406" i="48"/>
  <c r="H406" i="48"/>
  <c r="M406" i="48" s="1"/>
  <c r="I405" i="48"/>
  <c r="H405" i="48"/>
  <c r="M405" i="48" s="1"/>
  <c r="I404" i="48"/>
  <c r="H404" i="48"/>
  <c r="M404" i="48" s="1"/>
  <c r="I250" i="48"/>
  <c r="H250" i="48"/>
  <c r="M250" i="48" s="1"/>
  <c r="I249" i="48"/>
  <c r="H249" i="48"/>
  <c r="M249" i="48" s="1"/>
  <c r="I248" i="48"/>
  <c r="H248" i="48"/>
  <c r="M248" i="48" s="1"/>
  <c r="I247" i="48"/>
  <c r="H247" i="48"/>
  <c r="M247" i="48" s="1"/>
  <c r="I246" i="48"/>
  <c r="H246" i="48"/>
  <c r="M246" i="48" s="1"/>
  <c r="M245" i="48"/>
  <c r="I245" i="48"/>
  <c r="H245" i="48"/>
  <c r="I244" i="48"/>
  <c r="H244" i="48"/>
  <c r="M244" i="48" s="1"/>
  <c r="I243" i="48"/>
  <c r="H243" i="48"/>
  <c r="M243" i="48" s="1"/>
  <c r="I242" i="48"/>
  <c r="H242" i="48"/>
  <c r="M242" i="48" s="1"/>
  <c r="I241" i="48"/>
  <c r="H241" i="48"/>
  <c r="M241" i="48" s="1"/>
  <c r="I240" i="48"/>
  <c r="H240" i="48"/>
  <c r="M240" i="48" s="1"/>
  <c r="I239" i="48"/>
  <c r="H239" i="48"/>
  <c r="M239" i="48" s="1"/>
  <c r="I238" i="48"/>
  <c r="H238" i="48"/>
  <c r="M238" i="48" s="1"/>
  <c r="I237" i="48"/>
  <c r="H237" i="48"/>
  <c r="M237" i="48" s="1"/>
  <c r="I236" i="48"/>
  <c r="H236" i="48"/>
  <c r="M236" i="48" s="1"/>
  <c r="I73" i="48"/>
  <c r="H73" i="48"/>
  <c r="M73" i="48" s="1"/>
  <c r="I72" i="48"/>
  <c r="H72" i="48"/>
  <c r="M72" i="48" s="1"/>
  <c r="I71" i="48"/>
  <c r="H71" i="48"/>
  <c r="M71" i="48" s="1"/>
  <c r="I70" i="48"/>
  <c r="H70" i="48"/>
  <c r="M70" i="48" s="1"/>
  <c r="I69" i="48"/>
  <c r="H69" i="48"/>
  <c r="M69" i="48" s="1"/>
  <c r="I68" i="48"/>
  <c r="H68" i="48"/>
  <c r="M68" i="48" s="1"/>
  <c r="I67" i="48"/>
  <c r="H67" i="48"/>
  <c r="M67" i="48" s="1"/>
  <c r="I66" i="48"/>
  <c r="H66" i="48"/>
  <c r="M66" i="48" s="1"/>
  <c r="I65" i="48"/>
  <c r="H65" i="48"/>
  <c r="M65" i="48" s="1"/>
  <c r="I64" i="48"/>
  <c r="H64" i="48"/>
  <c r="M64" i="48" s="1"/>
  <c r="I63" i="48"/>
  <c r="H63" i="48"/>
  <c r="M63" i="48" s="1"/>
  <c r="I62" i="48"/>
  <c r="H62" i="48"/>
  <c r="M62" i="48" s="1"/>
  <c r="I61" i="48"/>
  <c r="H61" i="48"/>
  <c r="M61" i="48" s="1"/>
  <c r="I60" i="48"/>
  <c r="H60" i="48"/>
  <c r="M60" i="48" s="1"/>
  <c r="I595" i="48"/>
  <c r="H595" i="48"/>
  <c r="M595" i="48" s="1"/>
  <c r="I594" i="48"/>
  <c r="H594" i="48"/>
  <c r="M594" i="48" s="1"/>
  <c r="I593" i="48"/>
  <c r="H593" i="48"/>
  <c r="M593" i="48" s="1"/>
  <c r="I592" i="48"/>
  <c r="H592" i="48"/>
  <c r="M592" i="48" s="1"/>
  <c r="I591" i="48"/>
  <c r="H591" i="48"/>
  <c r="M591" i="48" s="1"/>
  <c r="I590" i="48"/>
  <c r="H590" i="48"/>
  <c r="M590" i="48" s="1"/>
  <c r="I589" i="48"/>
  <c r="H589" i="48"/>
  <c r="M589" i="48" s="1"/>
  <c r="M588" i="48"/>
  <c r="I588" i="48"/>
  <c r="H588" i="48"/>
  <c r="I587" i="48"/>
  <c r="H587" i="48"/>
  <c r="M587" i="48" s="1"/>
  <c r="I586" i="48"/>
  <c r="H586" i="48"/>
  <c r="M586" i="48" s="1"/>
  <c r="I585" i="48"/>
  <c r="H585" i="48"/>
  <c r="M585" i="48" s="1"/>
  <c r="I584" i="48"/>
  <c r="H584" i="48"/>
  <c r="M584" i="48" s="1"/>
  <c r="I583" i="48"/>
  <c r="H583" i="48"/>
  <c r="M583" i="48" s="1"/>
  <c r="I582" i="48"/>
  <c r="H582" i="48"/>
  <c r="M582" i="48" s="1"/>
  <c r="I581" i="48"/>
  <c r="H581" i="48"/>
  <c r="M581" i="48" s="1"/>
  <c r="I403" i="48"/>
  <c r="H403" i="48"/>
  <c r="M403" i="48" s="1"/>
  <c r="I402" i="48"/>
  <c r="H402" i="48"/>
  <c r="M402" i="48" s="1"/>
  <c r="I401" i="48"/>
  <c r="H401" i="48"/>
  <c r="M401" i="48" s="1"/>
  <c r="I400" i="48"/>
  <c r="H400" i="48"/>
  <c r="M400" i="48" s="1"/>
  <c r="I399" i="48"/>
  <c r="H399" i="48"/>
  <c r="M399" i="48" s="1"/>
  <c r="I398" i="48"/>
  <c r="H398" i="48"/>
  <c r="M398" i="48" s="1"/>
  <c r="I397" i="48"/>
  <c r="H397" i="48"/>
  <c r="M397" i="48" s="1"/>
  <c r="I396" i="48"/>
  <c r="H396" i="48"/>
  <c r="M396" i="48" s="1"/>
  <c r="I395" i="48"/>
  <c r="H395" i="48"/>
  <c r="M395" i="48" s="1"/>
  <c r="I394" i="48"/>
  <c r="H394" i="48"/>
  <c r="M394" i="48" s="1"/>
  <c r="I393" i="48"/>
  <c r="H393" i="48"/>
  <c r="M393" i="48" s="1"/>
  <c r="I392" i="48"/>
  <c r="H392" i="48"/>
  <c r="M392" i="48" s="1"/>
  <c r="M391" i="48"/>
  <c r="I391" i="48"/>
  <c r="H391" i="48"/>
  <c r="I390" i="48"/>
  <c r="H390" i="48"/>
  <c r="M390" i="48" s="1"/>
  <c r="I389" i="48"/>
  <c r="H389" i="48"/>
  <c r="M389" i="48" s="1"/>
  <c r="I388" i="48"/>
  <c r="H388" i="48"/>
  <c r="M388" i="48" s="1"/>
  <c r="I387" i="48"/>
  <c r="H387" i="48"/>
  <c r="M387" i="48" s="1"/>
  <c r="I235" i="48"/>
  <c r="H235" i="48"/>
  <c r="M235" i="48" s="1"/>
  <c r="I234" i="48"/>
  <c r="H234" i="48"/>
  <c r="M234" i="48" s="1"/>
  <c r="I233" i="48"/>
  <c r="H233" i="48"/>
  <c r="M233" i="48" s="1"/>
  <c r="I232" i="48"/>
  <c r="H232" i="48"/>
  <c r="M232" i="48" s="1"/>
  <c r="I231" i="48"/>
  <c r="H231" i="48"/>
  <c r="M231" i="48" s="1"/>
  <c r="I230" i="48"/>
  <c r="H230" i="48"/>
  <c r="M230" i="48" s="1"/>
  <c r="I229" i="48"/>
  <c r="H229" i="48"/>
  <c r="M229" i="48" s="1"/>
  <c r="M228" i="48"/>
  <c r="I228" i="48"/>
  <c r="H228" i="48"/>
  <c r="I227" i="48"/>
  <c r="H227" i="48"/>
  <c r="M227" i="48" s="1"/>
  <c r="I59" i="48"/>
  <c r="H59" i="48"/>
  <c r="M59" i="48" s="1"/>
  <c r="I58" i="48"/>
  <c r="H58" i="48"/>
  <c r="M58" i="48" s="1"/>
  <c r="M57" i="48"/>
  <c r="I57" i="48"/>
  <c r="H57" i="48"/>
  <c r="I56" i="48"/>
  <c r="H56" i="48"/>
  <c r="M56" i="48" s="1"/>
  <c r="I55" i="48"/>
  <c r="H55" i="48"/>
  <c r="M55" i="48" s="1"/>
  <c r="I54" i="48"/>
  <c r="H54" i="48"/>
  <c r="M54" i="48" s="1"/>
  <c r="I53" i="48"/>
  <c r="H53" i="48"/>
  <c r="M53" i="48" s="1"/>
  <c r="I52" i="48"/>
  <c r="H52" i="48"/>
  <c r="M52" i="48" s="1"/>
  <c r="I51" i="48"/>
  <c r="H51" i="48"/>
  <c r="M51" i="48" s="1"/>
  <c r="I50" i="48"/>
  <c r="H50" i="48"/>
  <c r="M50" i="48" s="1"/>
  <c r="I49" i="48"/>
  <c r="H49" i="48"/>
  <c r="M49" i="48" s="1"/>
  <c r="M48" i="48"/>
  <c r="I48" i="48"/>
  <c r="H48" i="48"/>
  <c r="I47" i="48"/>
  <c r="H47" i="48"/>
  <c r="M47" i="48" s="1"/>
  <c r="I580" i="48"/>
  <c r="H580" i="48"/>
  <c r="M580" i="48" s="1"/>
  <c r="I579" i="48"/>
  <c r="H579" i="48"/>
  <c r="M579" i="48" s="1"/>
  <c r="I578" i="48"/>
  <c r="H578" i="48"/>
  <c r="M578" i="48" s="1"/>
  <c r="I577" i="48"/>
  <c r="H577" i="48"/>
  <c r="M577" i="48" s="1"/>
  <c r="I576" i="48"/>
  <c r="H576" i="48"/>
  <c r="M576" i="48" s="1"/>
  <c r="I575" i="48"/>
  <c r="H575" i="48"/>
  <c r="M575" i="48" s="1"/>
  <c r="I574" i="48"/>
  <c r="H574" i="48"/>
  <c r="M574" i="48" s="1"/>
  <c r="I573" i="48"/>
  <c r="H573" i="48"/>
  <c r="M573" i="48" s="1"/>
  <c r="I572" i="48"/>
  <c r="H572" i="48"/>
  <c r="M572" i="48" s="1"/>
  <c r="I571" i="48"/>
  <c r="H571" i="48"/>
  <c r="M571" i="48" s="1"/>
  <c r="I570" i="48"/>
  <c r="H570" i="48"/>
  <c r="M570" i="48" s="1"/>
  <c r="I569" i="48"/>
  <c r="H569" i="48"/>
  <c r="M569" i="48" s="1"/>
  <c r="M386" i="48"/>
  <c r="I386" i="48"/>
  <c r="H386" i="48"/>
  <c r="I385" i="48"/>
  <c r="H385" i="48"/>
  <c r="M385" i="48" s="1"/>
  <c r="I384" i="48"/>
  <c r="H384" i="48"/>
  <c r="M384" i="48" s="1"/>
  <c r="I383" i="48"/>
  <c r="H383" i="48"/>
  <c r="M383" i="48" s="1"/>
  <c r="I382" i="48"/>
  <c r="H382" i="48"/>
  <c r="M382" i="48" s="1"/>
  <c r="I381" i="48"/>
  <c r="H381" i="48"/>
  <c r="M381" i="48" s="1"/>
  <c r="I380" i="48"/>
  <c r="H380" i="48"/>
  <c r="M380" i="48" s="1"/>
  <c r="I379" i="48"/>
  <c r="H379" i="48"/>
  <c r="M379" i="48" s="1"/>
  <c r="I378" i="48"/>
  <c r="H378" i="48"/>
  <c r="M378" i="48" s="1"/>
  <c r="M377" i="48"/>
  <c r="I377" i="48"/>
  <c r="H377" i="48"/>
  <c r="I376" i="48"/>
  <c r="H376" i="48"/>
  <c r="M376" i="48" s="1"/>
  <c r="I375" i="48"/>
  <c r="H375" i="48"/>
  <c r="M375" i="48" s="1"/>
  <c r="I374" i="48"/>
  <c r="H374" i="48"/>
  <c r="M374" i="48" s="1"/>
  <c r="I373" i="48"/>
  <c r="H373" i="48"/>
  <c r="M373" i="48" s="1"/>
  <c r="I372" i="48"/>
  <c r="H372" i="48"/>
  <c r="M372" i="48" s="1"/>
  <c r="I371" i="48"/>
  <c r="H371" i="48"/>
  <c r="M371" i="48" s="1"/>
  <c r="M370" i="48"/>
  <c r="I370" i="48"/>
  <c r="H370" i="48"/>
  <c r="I369" i="48"/>
  <c r="H369" i="48"/>
  <c r="M369" i="48" s="1"/>
  <c r="I368" i="48"/>
  <c r="H368" i="48"/>
  <c r="M368" i="48" s="1"/>
  <c r="I367" i="48"/>
  <c r="H367" i="48"/>
  <c r="M367" i="48" s="1"/>
  <c r="I226" i="48"/>
  <c r="H226" i="48"/>
  <c r="M226" i="48" s="1"/>
  <c r="I225" i="48"/>
  <c r="H225" i="48"/>
  <c r="M225" i="48" s="1"/>
  <c r="I224" i="48"/>
  <c r="H224" i="48"/>
  <c r="M224" i="48" s="1"/>
  <c r="I223" i="48"/>
  <c r="H223" i="48"/>
  <c r="M223" i="48" s="1"/>
  <c r="I222" i="48"/>
  <c r="H222" i="48"/>
  <c r="M222" i="48" s="1"/>
  <c r="I221" i="48"/>
  <c r="H221" i="48"/>
  <c r="M221" i="48" s="1"/>
  <c r="I220" i="48"/>
  <c r="H220" i="48"/>
  <c r="M220" i="48" s="1"/>
  <c r="I219" i="48"/>
  <c r="H219" i="48"/>
  <c r="M219" i="48" s="1"/>
  <c r="I218" i="48"/>
  <c r="H218" i="48"/>
  <c r="M218" i="48" s="1"/>
  <c r="I217" i="48"/>
  <c r="H217" i="48"/>
  <c r="M217" i="48" s="1"/>
  <c r="I216" i="48"/>
  <c r="H216" i="48"/>
  <c r="M216" i="48" s="1"/>
  <c r="I215" i="48"/>
  <c r="H215" i="48"/>
  <c r="M215" i="48" s="1"/>
  <c r="I214" i="48"/>
  <c r="H214" i="48"/>
  <c r="M214" i="48" s="1"/>
  <c r="I46" i="48"/>
  <c r="H46" i="48"/>
  <c r="M46" i="48" s="1"/>
  <c r="I45" i="48"/>
  <c r="H45" i="48"/>
  <c r="M45" i="48" s="1"/>
  <c r="I44" i="48"/>
  <c r="H44" i="48"/>
  <c r="M44" i="48" s="1"/>
  <c r="I43" i="48"/>
  <c r="H43" i="48"/>
  <c r="M43" i="48" s="1"/>
  <c r="I42" i="48"/>
  <c r="H42" i="48"/>
  <c r="M42" i="48" s="1"/>
  <c r="I41" i="48"/>
  <c r="H41" i="48"/>
  <c r="M41" i="48" s="1"/>
  <c r="I40" i="48"/>
  <c r="H40" i="48"/>
  <c r="M40" i="48" s="1"/>
  <c r="M39" i="48"/>
  <c r="I39" i="48"/>
  <c r="H39" i="48"/>
  <c r="I38" i="48"/>
  <c r="H38" i="48"/>
  <c r="M38" i="48" s="1"/>
  <c r="I37" i="48"/>
  <c r="H37" i="48"/>
  <c r="M37" i="48" s="1"/>
  <c r="I36" i="48"/>
  <c r="H36" i="48"/>
  <c r="M36" i="48" s="1"/>
  <c r="I35" i="48"/>
  <c r="H35" i="48"/>
  <c r="M35" i="48" s="1"/>
  <c r="I34" i="48"/>
  <c r="H34" i="48"/>
  <c r="M34" i="48" s="1"/>
  <c r="I568" i="48"/>
  <c r="H568" i="48"/>
  <c r="M568" i="48" s="1"/>
  <c r="I567" i="48"/>
  <c r="H567" i="48"/>
  <c r="M567" i="48" s="1"/>
  <c r="I566" i="48"/>
  <c r="H566" i="48"/>
  <c r="M566" i="48" s="1"/>
  <c r="I565" i="48"/>
  <c r="H565" i="48"/>
  <c r="M565" i="48" s="1"/>
  <c r="I564" i="48"/>
  <c r="H564" i="48"/>
  <c r="M564" i="48" s="1"/>
  <c r="I563" i="48"/>
  <c r="H563" i="48"/>
  <c r="M563" i="48" s="1"/>
  <c r="I562" i="48"/>
  <c r="H562" i="48"/>
  <c r="M562" i="48" s="1"/>
  <c r="I561" i="48"/>
  <c r="H561" i="48"/>
  <c r="M561" i="48" s="1"/>
  <c r="I560" i="48"/>
  <c r="H560" i="48"/>
  <c r="M560" i="48" s="1"/>
  <c r="I559" i="48"/>
  <c r="H559" i="48"/>
  <c r="M559" i="48" s="1"/>
  <c r="I558" i="48"/>
  <c r="H558" i="48"/>
  <c r="M558" i="48" s="1"/>
  <c r="I557" i="48"/>
  <c r="H557" i="48"/>
  <c r="M557" i="48" s="1"/>
  <c r="I556" i="48"/>
  <c r="H556" i="48"/>
  <c r="M556" i="48" s="1"/>
  <c r="I366" i="48"/>
  <c r="H366" i="48"/>
  <c r="M366" i="48" s="1"/>
  <c r="M365" i="48"/>
  <c r="I365" i="48"/>
  <c r="H365" i="48"/>
  <c r="I364" i="48"/>
  <c r="H364" i="48"/>
  <c r="M364" i="48" s="1"/>
  <c r="I363" i="48"/>
  <c r="H363" i="48"/>
  <c r="M363" i="48" s="1"/>
  <c r="I362" i="48"/>
  <c r="H362" i="48"/>
  <c r="M362" i="48" s="1"/>
  <c r="I361" i="48"/>
  <c r="H361" i="48"/>
  <c r="M361" i="48" s="1"/>
  <c r="I360" i="48"/>
  <c r="H360" i="48"/>
  <c r="M360" i="48" s="1"/>
  <c r="I359" i="48"/>
  <c r="H359" i="48"/>
  <c r="M359" i="48" s="1"/>
  <c r="M358" i="48"/>
  <c r="I358" i="48"/>
  <c r="H358" i="48"/>
  <c r="I357" i="48"/>
  <c r="H357" i="48"/>
  <c r="M357" i="48" s="1"/>
  <c r="I356" i="48"/>
  <c r="H356" i="48"/>
  <c r="M356" i="48" s="1"/>
  <c r="M355" i="48"/>
  <c r="I355" i="48"/>
  <c r="H355" i="48"/>
  <c r="I354" i="48"/>
  <c r="H354" i="48"/>
  <c r="M354" i="48" s="1"/>
  <c r="I353" i="48"/>
  <c r="H353" i="48"/>
  <c r="M353" i="48" s="1"/>
  <c r="I352" i="48"/>
  <c r="H352" i="48"/>
  <c r="M352" i="48" s="1"/>
  <c r="I351" i="48"/>
  <c r="H351" i="48"/>
  <c r="M351" i="48" s="1"/>
  <c r="I350" i="48"/>
  <c r="H350" i="48"/>
  <c r="M350" i="48" s="1"/>
  <c r="I349" i="48"/>
  <c r="H349" i="48"/>
  <c r="M349" i="48" s="1"/>
  <c r="I348" i="48"/>
  <c r="H348" i="48"/>
  <c r="M348" i="48" s="1"/>
  <c r="I213" i="48"/>
  <c r="H213" i="48"/>
  <c r="M213" i="48" s="1"/>
  <c r="M212" i="48"/>
  <c r="I212" i="48"/>
  <c r="H212" i="48"/>
  <c r="I211" i="48"/>
  <c r="H211" i="48"/>
  <c r="M211" i="48" s="1"/>
  <c r="I210" i="48"/>
  <c r="H210" i="48"/>
  <c r="M210" i="48" s="1"/>
  <c r="I209" i="48"/>
  <c r="H209" i="48"/>
  <c r="M209" i="48" s="1"/>
  <c r="I208" i="48"/>
  <c r="H208" i="48"/>
  <c r="M208" i="48" s="1"/>
  <c r="I207" i="48"/>
  <c r="H207" i="48"/>
  <c r="M207" i="48" s="1"/>
  <c r="I206" i="48"/>
  <c r="H206" i="48"/>
  <c r="M206" i="48" s="1"/>
  <c r="I205" i="48"/>
  <c r="H205" i="48"/>
  <c r="M205" i="48" s="1"/>
  <c r="I204" i="48"/>
  <c r="H204" i="48"/>
  <c r="M204" i="48" s="1"/>
  <c r="I203" i="48"/>
  <c r="H203" i="48"/>
  <c r="M203" i="48" s="1"/>
  <c r="I202" i="48"/>
  <c r="H202" i="48"/>
  <c r="M202" i="48" s="1"/>
  <c r="I33" i="48"/>
  <c r="H33" i="48"/>
  <c r="M33" i="48" s="1"/>
  <c r="I32" i="48"/>
  <c r="H32" i="48"/>
  <c r="M32" i="48" s="1"/>
  <c r="I31" i="48"/>
  <c r="H31" i="48"/>
  <c r="M31" i="48" s="1"/>
  <c r="I30" i="48"/>
  <c r="H30" i="48"/>
  <c r="M30" i="48" s="1"/>
  <c r="I29" i="48"/>
  <c r="H29" i="48"/>
  <c r="M29" i="48" s="1"/>
  <c r="I28" i="48"/>
  <c r="H28" i="48"/>
  <c r="M28" i="48" s="1"/>
  <c r="M27" i="48"/>
  <c r="I27" i="48"/>
  <c r="H27" i="48"/>
  <c r="I26" i="48"/>
  <c r="H26" i="48"/>
  <c r="M26" i="48" s="1"/>
  <c r="I25" i="48"/>
  <c r="H25" i="48"/>
  <c r="M25" i="48" s="1"/>
  <c r="I24" i="48"/>
  <c r="H24" i="48"/>
  <c r="M24" i="48" s="1"/>
  <c r="M23" i="48"/>
  <c r="I23" i="48"/>
  <c r="H23" i="48"/>
  <c r="I22" i="48"/>
  <c r="H22" i="48"/>
  <c r="M22" i="48" s="1"/>
  <c r="I21" i="48"/>
  <c r="H21" i="48"/>
  <c r="M21" i="48" s="1"/>
  <c r="M20" i="48"/>
  <c r="I20" i="48"/>
  <c r="H20" i="48"/>
  <c r="H542" i="48"/>
  <c r="H540" i="48"/>
  <c r="H190" i="48"/>
  <c r="H189" i="48"/>
  <c r="H9" i="48"/>
  <c r="H16" i="48" l="1"/>
  <c r="H341" i="48" l="1"/>
  <c r="H342" i="48"/>
  <c r="H333" i="48" l="1"/>
  <c r="H15" i="48" l="1"/>
  <c r="M15" i="48" s="1"/>
  <c r="H5" i="48"/>
  <c r="H340" i="48" l="1"/>
  <c r="M340" i="48" s="1"/>
  <c r="I10" i="48"/>
  <c r="I15" i="48"/>
  <c r="M342" i="48" l="1"/>
  <c r="H345" i="48"/>
  <c r="M345" i="48" s="1"/>
  <c r="H338" i="48"/>
  <c r="M338" i="48" s="1"/>
  <c r="H335" i="48"/>
  <c r="M335" i="48" s="1"/>
  <c r="I347" i="48"/>
  <c r="H347" i="48"/>
  <c r="M347" i="48" s="1"/>
  <c r="I346" i="48"/>
  <c r="H346" i="48"/>
  <c r="M346" i="48" s="1"/>
  <c r="I345" i="48"/>
  <c r="I344" i="48"/>
  <c r="H344" i="48"/>
  <c r="M344" i="48" s="1"/>
  <c r="I343" i="48"/>
  <c r="H343" i="48"/>
  <c r="M343" i="48" s="1"/>
  <c r="I342" i="48"/>
  <c r="I341" i="48"/>
  <c r="M341" i="48"/>
  <c r="I340" i="48"/>
  <c r="I339" i="48"/>
  <c r="H339" i="48"/>
  <c r="M339" i="48" s="1"/>
  <c r="I338" i="48"/>
  <c r="I337" i="48"/>
  <c r="H337" i="48"/>
  <c r="M337" i="48" s="1"/>
  <c r="I336" i="48"/>
  <c r="H336" i="48"/>
  <c r="M336" i="48" s="1"/>
  <c r="I335" i="48"/>
  <c r="I334" i="48"/>
  <c r="H334" i="48"/>
  <c r="M334" i="48" s="1"/>
  <c r="I333" i="48"/>
  <c r="M333" i="48"/>
  <c r="I332" i="48"/>
  <c r="H332" i="48"/>
  <c r="M332" i="48" s="1"/>
  <c r="H200" i="48" l="1"/>
  <c r="H199" i="48"/>
  <c r="H555" i="48" l="1"/>
  <c r="H554" i="48"/>
  <c r="H553" i="48"/>
  <c r="H549" i="48"/>
  <c r="I19" i="48"/>
  <c r="H19" i="48"/>
  <c r="M19" i="48" s="1"/>
  <c r="I18" i="48"/>
  <c r="H18" i="48"/>
  <c r="M18" i="48" s="1"/>
  <c r="I17" i="48"/>
  <c r="H17" i="48"/>
  <c r="M17" i="48" s="1"/>
  <c r="I16" i="48"/>
  <c r="M16" i="48"/>
  <c r="I14" i="48"/>
  <c r="H14" i="48"/>
  <c r="M14" i="48" s="1"/>
  <c r="I13" i="48"/>
  <c r="H13" i="48"/>
  <c r="M13" i="48" s="1"/>
  <c r="I12" i="48"/>
  <c r="H12" i="48"/>
  <c r="M12" i="48" s="1"/>
  <c r="I11" i="48"/>
  <c r="H11" i="48"/>
  <c r="M11" i="48" s="1"/>
  <c r="H10" i="48"/>
  <c r="M10" i="48" s="1"/>
  <c r="M9" i="48"/>
  <c r="I9" i="48"/>
  <c r="I8" i="48"/>
  <c r="H8" i="48"/>
  <c r="M8" i="48" s="1"/>
  <c r="I7" i="48"/>
  <c r="H7" i="48"/>
  <c r="M7" i="48" s="1"/>
  <c r="I6" i="48"/>
  <c r="H6" i="48"/>
  <c r="M6" i="48" s="1"/>
  <c r="I5" i="48"/>
  <c r="M5" i="48"/>
  <c r="I4" i="48"/>
  <c r="H4" i="48"/>
  <c r="I544" i="48"/>
  <c r="H552" i="48" l="1"/>
  <c r="H548" i="48"/>
  <c r="H196" i="48"/>
  <c r="I199" i="48"/>
  <c r="I201" i="48"/>
  <c r="H201" i="48"/>
  <c r="M201" i="48" s="1"/>
  <c r="I200" i="48"/>
  <c r="M200" i="48"/>
  <c r="M199" i="48"/>
  <c r="H197" i="48"/>
  <c r="M197" i="48" s="1"/>
  <c r="H191" i="48"/>
  <c r="M190" i="48"/>
  <c r="I555" i="48"/>
  <c r="I554" i="48"/>
  <c r="I553" i="48"/>
  <c r="M189" i="48" l="1"/>
  <c r="I197" i="48"/>
  <c r="I198" i="48"/>
  <c r="H198" i="48"/>
  <c r="M198" i="48" s="1"/>
  <c r="M196" i="48"/>
  <c r="I196" i="48"/>
  <c r="I195" i="48"/>
  <c r="H195" i="48"/>
  <c r="M195" i="48" s="1"/>
  <c r="I194" i="48"/>
  <c r="H194" i="48"/>
  <c r="M194" i="48" s="1"/>
  <c r="I193" i="48"/>
  <c r="H193" i="48"/>
  <c r="M193" i="48" s="1"/>
  <c r="I192" i="48"/>
  <c r="H192" i="48"/>
  <c r="M192" i="48" s="1"/>
  <c r="I191" i="48"/>
  <c r="M191" i="48"/>
  <c r="I190" i="48"/>
  <c r="I189" i="48"/>
  <c r="I552" i="48"/>
  <c r="I551" i="48"/>
  <c r="H551" i="48"/>
  <c r="I550" i="48"/>
  <c r="H550" i="48"/>
  <c r="I549" i="48" l="1"/>
  <c r="I547" i="48"/>
  <c r="H547" i="48"/>
  <c r="H546" i="48"/>
  <c r="H544" i="48"/>
  <c r="H545" i="48" l="1"/>
  <c r="M545" i="48" s="1"/>
  <c r="M540" i="48"/>
  <c r="H541" i="48"/>
  <c r="M546" i="48"/>
  <c r="M547" i="48"/>
  <c r="M548" i="48"/>
  <c r="M549" i="48"/>
  <c r="M550" i="48"/>
  <c r="M551" i="48"/>
  <c r="M552" i="48"/>
  <c r="I545" i="48"/>
  <c r="I546" i="48"/>
  <c r="I548" i="48"/>
  <c r="M544" i="48"/>
  <c r="M542" i="48"/>
  <c r="I543" i="48"/>
  <c r="H543" i="48"/>
  <c r="M543" i="48" s="1"/>
  <c r="I542" i="48"/>
  <c r="I541" i="48"/>
  <c r="M541" i="48" l="1"/>
  <c r="M553" i="48"/>
  <c r="M554" i="48"/>
  <c r="M555" i="48"/>
  <c r="I540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Бекзат Такенов</author>
    <author>Сабит Бердимурадов</author>
    <author>Бауыржан Дильмагамбетов</author>
    <author>Динара Ессенжанова</author>
    <author>Сагидолла Абишаев</author>
  </authors>
  <commentList>
    <comment ref="M1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80000 кесілді</t>
        </r>
      </text>
    </comment>
    <comment ref="M15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108000 қайтарылды</t>
        </r>
      </text>
    </comment>
    <comment ref="M27" authorId="1" shapeId="0" xr:uid="{C443331A-5ECD-423F-B6B5-A1AA91215AB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ПК 6рет кайтарылды</t>
        </r>
      </text>
    </comment>
    <comment ref="M29" authorId="1" shapeId="0" xr:uid="{7F3DE7CF-B436-4804-B3EC-3AA610198E17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ГЗЖ-ОПП 3рет 240000тг</t>
        </r>
      </text>
    </comment>
    <comment ref="M36" authorId="0" shapeId="0" xr:uid="{1F3D0569-057C-4B3F-86DB-07759C89F4A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80000т.гис</t>
        </r>
      </text>
    </comment>
    <comment ref="H37" authorId="2" shapeId="0" xr:uid="{5A716BE6-CA87-400D-9E21-36EBA845C107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 кесілді</t>
        </r>
      </text>
    </comment>
    <comment ref="M39" authorId="0" shapeId="0" xr:uid="{4FE51B22-D6BC-43AC-9331-3D713748D98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80000т. гис</t>
        </r>
      </text>
    </comment>
    <comment ref="H49" authorId="0" shapeId="0" xr:uid="{5F8DF6BE-98B3-42D3-8911-B4C8506CFEC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алынды</t>
        </r>
      </text>
    </comment>
    <comment ref="H52" authorId="0" shapeId="0" xr:uid="{60ECC9E1-1343-4264-94DC-6F2E3BA690E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</t>
        </r>
      </text>
    </comment>
    <comment ref="M56" authorId="0" shapeId="0" xr:uid="{6E1DE81C-7972-4554-B4F2-E8B7A9A15C3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не доход 80000</t>
        </r>
      </text>
    </comment>
    <comment ref="M57" authorId="0" shapeId="0" xr:uid="{0C44FD63-2C5D-4A2F-903A-8BDD54CEF52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2-рет қайтарылды</t>
        </r>
      </text>
    </comment>
    <comment ref="H59" authorId="1" shapeId="0" xr:uid="{AE45C516-8413-4CD9-9960-50CB9360D609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60" authorId="2" shapeId="0" xr:uid="{C93B1AF0-0E17-4B4B-9535-B6AE12CB00E0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177 сағ қиылды
29сағ ПК қиылды</t>
        </r>
      </text>
    </comment>
    <comment ref="H61" authorId="1" shapeId="0" xr:uid="{98EF217E-55BE-4E53-BF2B-C0A9F39AFCAE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-7саг срезали</t>
        </r>
      </text>
    </comment>
    <comment ref="M61" authorId="0" shapeId="0" xr:uid="{6D3E7262-CEF6-4F21-B054-E93163C3113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70000т.қайтарылды</t>
        </r>
      </text>
    </comment>
    <comment ref="H62" authorId="2" shapeId="0" xr:uid="{552B1710-5ECE-429C-ABF8-83EE959CF524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ВП-кесілді 57сағ</t>
        </r>
      </text>
    </comment>
    <comment ref="H63" authorId="2" shapeId="0" xr:uid="{D5885900-F7CE-4313-9DDD-59531F55BE69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 -7сағ кесілді</t>
        </r>
      </text>
    </comment>
    <comment ref="H65" authorId="0" shapeId="0" xr:uid="{B8870BE7-2573-4A24-ADBC-84BCCBE87F8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66с.</t>
        </r>
      </text>
    </comment>
    <comment ref="H66" authorId="0" shapeId="0" xr:uid="{9154FC66-E587-4972-A1F5-76249B03884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прз 66с</t>
        </r>
      </text>
    </comment>
    <comment ref="M66" authorId="0" shapeId="0" xr:uid="{62D5A502-3034-4E8F-8A15-3A4C8C799D2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108000т.қайтарылды</t>
        </r>
      </text>
    </comment>
    <comment ref="H69" authorId="1" shapeId="0" xr:uid="{2DB60753-1902-40F9-9BE4-DFEF3A7A65FD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 срезали</t>
        </r>
      </text>
    </comment>
    <comment ref="H71" authorId="0" shapeId="0" xr:uid="{418B0EA6-FAB7-489D-981A-5427A985B9F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66с.</t>
        </r>
      </text>
    </comment>
    <comment ref="M71" authorId="0" shapeId="0" xr:uid="{A12F65A2-0583-4655-8D90-0218B419D9A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108000т.қайтарылды</t>
        </r>
      </text>
    </comment>
    <comment ref="H73" authorId="2" shapeId="0" xr:uid="{78812618-7C72-472C-AF20-9F08086A8B42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 қиылды</t>
        </r>
      </text>
    </comment>
    <comment ref="H76" authorId="1" shapeId="0" xr:uid="{2700A2C1-48AB-44B3-BEB6-01B47C5ED907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Келісім хат арқылы кесілген 221сағ</t>
        </r>
      </text>
    </comment>
    <comment ref="M76" authorId="0" shapeId="0" xr:uid="{BADA82ED-59C9-4065-990F-46C3684BA0A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2-рет қайтарылды  216000т.</t>
        </r>
      </text>
    </comment>
    <comment ref="H77" authorId="1" shapeId="0" xr:uid="{12B726E5-D649-4539-843E-5393D164898D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H79" authorId="0" shapeId="0" xr:uid="{AAB78414-10E7-4DA2-AF86-89D8AB93BF09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5с.кесілді</t>
        </r>
      </text>
    </comment>
    <comment ref="M79" authorId="0" shapeId="0" xr:uid="{A1476916-B011-43D5-A863-104216C57DB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1-рет қайтарылды  108000т.</t>
        </r>
      </text>
    </comment>
    <comment ref="H81" authorId="2" shapeId="0" xr:uid="{7943DB29-FD2B-4D25-9FF6-1D7571493330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81" authorId="0" shapeId="0" xr:uid="{1AE4989D-0CB8-4C0B-AF81-BAD0B8B2C733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H84" authorId="0" shapeId="0" xr:uid="{EACE7903-DBDB-4205-A08D-B003B52DFB3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5с.кесілді</t>
        </r>
      </text>
    </comment>
    <comment ref="H86" authorId="0" shapeId="0" xr:uid="{2735A78D-BD82-4598-B7F1-0312AFC273AB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5с.кесілді</t>
        </r>
      </text>
    </comment>
    <comment ref="M89" authorId="0" shapeId="0" xr:uid="{85D59C6F-DE3E-406C-BEC4-68FD55EDDE43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92" authorId="0" shapeId="0" xr:uid="{B5AB652A-ED2D-4DCC-B669-2A07F18A0C8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H98" authorId="2" shapeId="0" xr:uid="{A5D703F2-B608-423D-8C71-9C22C56012EC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ПК кесілді</t>
        </r>
      </text>
    </comment>
    <comment ref="M98" authorId="1" shapeId="0" xr:uid="{68FF448E-C8F7-4EFC-B516-24B42547EE82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1-рет 80000</t>
        </r>
      </text>
    </comment>
    <comment ref="M99" authorId="1" shapeId="0" xr:uid="{DE53F07F-1DD0-46A3-9A29-0ECFCA59FF99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
100000
</t>
        </r>
      </text>
    </comment>
    <comment ref="M100" authorId="1" shapeId="0" xr:uid="{2BEC66CF-C2FD-4148-9BA4-0F55E4B196E3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100000
</t>
        </r>
      </text>
    </comment>
    <comment ref="H101" authorId="2" shapeId="0" xr:uid="{2F72CCD3-E938-4226-A8ED-5BA770C5A8E2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 полный алынды 79сағ</t>
        </r>
      </text>
    </comment>
    <comment ref="H102" authorId="1" shapeId="0" xr:uid="{52CDFC0A-D97C-4BD2-8717-01591EA3A46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112" authorId="1" shapeId="0" xr:uid="{F618676E-DA5B-4F3E-9014-56B550A58C17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116" authorId="1" shapeId="0" xr:uid="{416101B9-FD17-4FE8-8BFD-CBEFBC699AE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кайтарылды 2рет 200000тг</t>
        </r>
      </text>
    </comment>
    <comment ref="H117" authorId="2" shapeId="0" xr:uid="{9B4A9835-6077-4C9B-873E-FEE5DE823D64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177сағ кесілді</t>
        </r>
      </text>
    </comment>
    <comment ref="H120" authorId="0" shapeId="0" xr:uid="{7AF81AD8-EC77-406E-94F2-6823D01B68E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кесілді</t>
        </r>
      </text>
    </comment>
    <comment ref="H121" authorId="1" shapeId="0" xr:uid="{6C348E10-98B4-4D65-A177-8ECD8C6831C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121" authorId="0" shapeId="0" xr:uid="{5759E4C1-68DD-47D1-8892-43E2AEC4C49F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108000т.кесілді</t>
        </r>
      </text>
    </comment>
    <comment ref="H122" authorId="0" shapeId="0" xr:uid="{D3CC7442-0A04-4F27-9A68-706A14DB278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H126" authorId="0" shapeId="0" xr:uid="{87EEE885-43EA-4A79-9735-3AB429F6C27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H127" authorId="2" shapeId="0" xr:uid="{9AF9DB74-9CA9-460A-9C06-54B4AA10B7C8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
212 сағ кесілді</t>
        </r>
      </text>
    </comment>
    <comment ref="H133" authorId="2" shapeId="0" xr:uid="{F9CED6C3-ADC7-4A27-A893-4E7C4A1421D0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135" authorId="0" shapeId="0" xr:uid="{8D5E1835-B0A1-44BE-AE21-C9463D52B2B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H136" authorId="2" shapeId="0" xr:uid="{A882499C-3BD8-4CB6-9098-29C812BF0747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138" authorId="0" shapeId="0" xr:uid="{0391E044-A481-4503-8C9C-68B1927CA08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100000т.кесілді</t>
        </r>
      </text>
    </comment>
    <comment ref="M140" authorId="0" shapeId="0" xr:uid="{9BF6D4B5-C279-44E6-8D8A-1D526C1373B9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144" authorId="0" shapeId="0" xr:uid="{E9C5EBFE-DC27-487A-A885-DDA6F366766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146" authorId="0" shapeId="0" xr:uid="{A5972057-7CA7-4AE6-924D-FE47543762A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H147" authorId="1" shapeId="0" xr:uid="{0A75DE73-BD25-4ABA-977B-43ED93E18C5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пзр-7сағат</t>
        </r>
      </text>
    </comment>
    <comment ref="M150" authorId="0" shapeId="0" xr:uid="{6F188690-9384-4C22-A26E-7E52F8554E1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2-рет қайтарылды. 200000т.</t>
        </r>
      </text>
    </comment>
    <comment ref="H151" authorId="0" shapeId="0" xr:uid="{E9E3B5C4-A7A7-44C6-BC19-FE13B4246AB4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151" authorId="0" shapeId="0" xr:uid="{B82CB4DB-5AE4-4A31-A9BF-DDA4B745019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153" authorId="0" shapeId="0" xr:uid="{58374662-DDDB-44A8-9EA6-2209B21224C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2-рет қайтарылды 200000т.</t>
        </r>
      </text>
    </comment>
    <comment ref="H156" authorId="0" shapeId="0" xr:uid="{550A2D9B-1681-4278-9846-51EDCE8079D9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157" authorId="2" shapeId="0" xr:uid="{B3F7D3B8-5705-400F-A905-0CD6DF9F1A91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ГЗЖ 1 рет қайтарылды 100 000т.</t>
        </r>
      </text>
    </comment>
    <comment ref="H158" authorId="0" shapeId="0" xr:uid="{9B4859E8-52B7-4622-9337-31F8726B758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158" authorId="0" shapeId="0" xr:uid="{A703F145-E23B-4AF9-8400-7C3EC78DFA7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H159" authorId="0" shapeId="0" xr:uid="{40A6F99A-F021-4F2D-AA98-70787DD4181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164" authorId="0" shapeId="0" xr:uid="{5609F22A-6DCF-41BC-8481-6C00F0BB08A3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167" authorId="0" shapeId="0" xr:uid="{E97613BD-4A24-4B97-B511-517FBEE2C9E4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100000т.</t>
        </r>
      </text>
    </comment>
    <comment ref="M169" authorId="0" shapeId="0" xr:uid="{A1E5E694-ED64-4C34-BC38-697758A6E0F4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4-рет қайтарылды 400000т.
</t>
        </r>
      </text>
    </comment>
    <comment ref="M170" authorId="0" shapeId="0" xr:uid="{9787BE20-A2EE-43A7-AFAB-A00E9CEE7E38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2-рет қайтарылды. 216000т.</t>
        </r>
      </text>
    </comment>
    <comment ref="H176" authorId="0" shapeId="0" xr:uid="{952083CC-F2E8-4354-BC54-E98B50E613FF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177" authorId="0" shapeId="0" xr:uid="{8A22EB37-3D32-40E7-9F0B-CA7F4B1A467B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M179" authorId="0" shapeId="0" xr:uid="{A9D25E97-7753-4A9D-910A-C25D01CD9838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4-рет 80000*4=320000т</t>
        </r>
      </text>
    </comment>
    <comment ref="H180" authorId="0" shapeId="0" xr:uid="{42B98BE8-3366-46A7-B2F6-ADF734E416C8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M183" authorId="0" shapeId="0" xr:uid="{21A67E85-3933-42EB-82D1-CC12AB7CD95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ОГК 100000т</t>
        </r>
      </text>
    </comment>
    <comment ref="H184" authorId="0" shapeId="0" xr:uid="{1FFA426D-B528-4C5A-B4FF-A6AF2FE04D29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пзр-7с.</t>
        </r>
      </text>
    </comment>
    <comment ref="M185" authorId="0" shapeId="0" xr:uid="{6E8F34B5-24AC-4BEB-AD4E-53FA827C4A1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80000т7</t>
        </r>
      </text>
    </comment>
    <comment ref="M186" authorId="0" shapeId="0" xr:uid="{C6AB9B37-DF77-4B77-BCB3-EA62C2AA900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ОГК 100000т</t>
        </r>
      </text>
    </comment>
    <comment ref="H188" authorId="0" shapeId="0" xr:uid="{50363F4B-9DD8-40D1-99D3-8A47FE17C45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ПЗР-7с,.</t>
        </r>
      </text>
    </comment>
    <comment ref="H189" authorId="3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Суға ауысты. Барғанда по болмады</t>
        </r>
      </text>
    </comment>
    <comment ref="M189" authorId="3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ГИС 3 рет қайтарылды. </t>
        </r>
      </text>
    </comment>
    <comment ref="H190" authorId="3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пзр-7
</t>
        </r>
      </text>
    </comment>
    <comment ref="M190" authorId="3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02.12. ГИС қайтарылды. </t>
        </r>
      </text>
    </comment>
    <comment ref="H196" authorId="4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ПЗР 7 сағ.</t>
        </r>
      </text>
    </comment>
    <comment ref="M197" authorId="1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ПК 2рет 86000тг кайтарылды</t>
        </r>
      </text>
    </comment>
    <comment ref="M198" authorId="4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1 рет ГЗЖ қайтарылды.</t>
        </r>
      </text>
    </comment>
    <comment ref="H204" authorId="3" shapeId="0" xr:uid="{94181AC1-4B64-45FB-9DBC-1044EAB9ACDC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H210" authorId="3" shapeId="0" xr:uid="{79197A7E-D17C-4AA5-B607-1C3B8D0EC0EB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ПЗР -7</t>
        </r>
      </text>
    </comment>
    <comment ref="H211" authorId="3" shapeId="0" xr:uid="{5728DCF4-E45E-48A9-8500-6225BF66BCE7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пзр -7</t>
        </r>
      </text>
    </comment>
    <comment ref="H213" authorId="1" shapeId="0" xr:uid="{FE440D10-103F-464E-AEC2-EA03130C229D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268 сағаттан 10пайыз </t>
        </r>
      </text>
    </comment>
    <comment ref="M216" authorId="3" shapeId="0" xr:uid="{76ED817F-DED2-4F86-A21B-0D6300CBF1E7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07.03. ГИС қайтарылды. </t>
        </r>
      </text>
    </comment>
    <comment ref="M219" authorId="3" shapeId="0" xr:uid="{145E4459-2A06-40E8-B37D-8A9EDB09EC11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ОПП қайтарылды. </t>
        </r>
      </text>
    </comment>
    <comment ref="H220" authorId="1" shapeId="0" xr:uid="{7F8C143C-B128-4893-95D0-89C5B201EB8E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H221" authorId="1" shapeId="0" xr:uid="{33CCD5D2-5C98-463E-A861-6D86B05BC0E6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пакер 5саг</t>
        </r>
      </text>
    </comment>
    <comment ref="H222" authorId="1" shapeId="0" xr:uid="{921B3AD2-B466-4632-A759-A94D2B634F6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пакер 5саг</t>
        </r>
      </text>
    </comment>
    <comment ref="M222" authorId="3" shapeId="0" xr:uid="{84ED89E7-E31E-4044-B4EF-957F0B361921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ОПП қайтарылды. </t>
        </r>
      </text>
    </comment>
    <comment ref="H223" authorId="1" shapeId="0" xr:uid="{9D3D437E-D2B0-4AFF-AC64-79121E8C48A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пакер 5саг</t>
        </r>
      </text>
    </comment>
    <comment ref="H224" authorId="1" shapeId="0" xr:uid="{DDBF7325-8D57-4CC7-B1D3-2A96E1EB563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пакер 5саг</t>
        </r>
      </text>
    </comment>
    <comment ref="H228" authorId="1" shapeId="0" xr:uid="{0C123867-E377-45EB-A068-825246B275D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 саг</t>
        </r>
      </text>
    </comment>
    <comment ref="H229" authorId="1" shapeId="0" xr:uid="{011AAA70-F3F5-496F-B721-B2883EDE270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231" authorId="1" shapeId="0" xr:uid="{64F8F7CF-63BF-487E-BD0F-0A285B15850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M231" authorId="1" shapeId="0" xr:uid="{8E0C1194-862A-4EA7-8613-425B58E38A3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недоход 100000тг</t>
        </r>
      </text>
    </comment>
    <comment ref="H232" authorId="1" shapeId="0" xr:uid="{3DC18E20-4192-4D24-977A-435CD1FF2E49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M233" authorId="1" shapeId="0" xr:uid="{C3617580-9F3E-4063-94B8-2ECE64B4080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 ГЗЖ недоход 10000тг</t>
        </r>
      </text>
    </comment>
    <comment ref="M238" authorId="3" shapeId="0" xr:uid="{4967EC97-8B66-4779-838B-7FCC2638E62B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ГЗЖ ОГК не доход 06.05.25</t>
        </r>
      </text>
    </comment>
    <comment ref="H240" authorId="0" shapeId="0" xr:uid="{444558EE-610C-4B22-98D8-6D557FDCB51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243" authorId="3" shapeId="0" xr:uid="{61D82D7C-D102-449A-B7A5-9252393C62E3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ПК недоход. 18.05.25ж.</t>
        </r>
      </text>
    </comment>
    <comment ref="M245" authorId="3" shapeId="0" xr:uid="{37EBC4C3-BF12-4428-838F-301E0BC3ECAB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ОГК недоход 26.04.25ж.
ПК недоход 28.04.25ж.
ПК недоход 29.04.25ж.</t>
        </r>
      </text>
    </comment>
    <comment ref="M247" authorId="3" shapeId="0" xr:uid="{4BE0E457-0EF2-42EA-BF33-20E57FCEA96B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ГИС-ОПП 26.03.25ж.
ПК 30.03.25ж.
ГИС-ОГК 15.05.25ж.
</t>
        </r>
      </text>
    </comment>
    <comment ref="H248" authorId="1" shapeId="0" xr:uid="{37B27085-E1C0-446A-89CE-4880F737367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H249" authorId="1" shapeId="0" xr:uid="{C0C3E8EB-3759-4A58-90F6-0EED86CE9579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M251" authorId="1" shapeId="0" xr:uid="{E8DB6012-41F1-4A80-8A64-5F92DD89626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кайтарылды -100000тг</t>
        </r>
      </text>
    </comment>
    <comment ref="H253" authorId="1" shapeId="0" xr:uid="{0D0AD847-3427-475C-8874-53FE0F700976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7сағ</t>
        </r>
      </text>
    </comment>
    <comment ref="M257" authorId="1" shapeId="0" xr:uid="{03FC7241-829F-4E84-BDFC-9E7C118C46F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100000тг</t>
        </r>
      </text>
    </comment>
    <comment ref="M258" authorId="1" shapeId="0" xr:uid="{CD359DFC-FBBB-46DF-ADA4-778142AEFA7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ПК қайтарылды 108000тг</t>
        </r>
      </text>
    </comment>
    <comment ref="M260" authorId="1" shapeId="0" xr:uid="{16517CF2-5483-436A-AEC6-D70D0AF367F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5рет қайтарылды 500000тг</t>
        </r>
      </text>
    </comment>
    <comment ref="H261" authorId="1" shapeId="0" xr:uid="{6C8980A3-89F9-4559-9C56-86CDC093514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262" authorId="4" shapeId="0" xr:uid="{9F656FA7-BCC9-453D-9794-5AD02BCBA2A6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7 сағ кесілді</t>
        </r>
      </text>
    </comment>
    <comment ref="H264" authorId="2" shapeId="0" xr:uid="{D54497B0-5F33-4DE2-BEFB-7DF22E918E63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ПК кесілді (возврат)</t>
        </r>
      </text>
    </comment>
    <comment ref="H265" authorId="4" shapeId="0" xr:uid="{E5FE93C8-6DB3-4297-A46D-9EAD009315A0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7 сағ. кесілді</t>
        </r>
      </text>
    </comment>
    <comment ref="H267" authorId="4" shapeId="0" xr:uid="{264517F7-7C07-4596-AC37-C7D756E69650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7 сағ. кесілді</t>
        </r>
      </text>
    </comment>
    <comment ref="M276" authorId="1" shapeId="0" xr:uid="{448A9547-F6B5-4A50-B949-6533084EADD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ГЗЖ-ОГК қайтарылды 100000тг</t>
        </r>
      </text>
    </comment>
    <comment ref="M277" authorId="1" shapeId="0" xr:uid="{2C223EAE-EA5C-40EB-80D2-847F0670B77F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ГЗЖ-ОГК қайтарылды 100000тг</t>
        </r>
      </text>
    </comment>
    <comment ref="H279" authorId="1" shapeId="0" xr:uid="{673F24ED-AEA3-4F85-BA7E-0CDBBF660622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M282" authorId="1" shapeId="0" xr:uid="{CD7EEC80-FBE1-4484-886B-712305F543D6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ГЗЖ- 100000 өайтарылды</t>
        </r>
      </text>
    </comment>
    <comment ref="M290" authorId="1" shapeId="0" xr:uid="{EB6366A5-166C-447D-82D2-771A6A26A471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ГЗЖ-ОГК 80000тг</t>
        </r>
      </text>
    </comment>
    <comment ref="H291" authorId="1" shapeId="0" xr:uid="{20714891-67A8-4205-9F19-D7100ED2E02E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H292" authorId="1" shapeId="0" xr:uid="{0761C000-B46E-4EAC-9369-91E13F0444FE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M293" authorId="1" shapeId="0" xr:uid="{8B4B6D70-C794-48A9-B000-B21B3FE1EF33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ГЗЖ-100000тг</t>
        </r>
      </text>
    </comment>
    <comment ref="H296" authorId="1" shapeId="0" xr:uid="{E40F60CB-5232-4619-8290-8D99B21A155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</t>
        </r>
      </text>
    </comment>
    <comment ref="M296" authorId="1" shapeId="0" xr:uid="{DB49E162-ADB2-4B90-8A41-AF700C955521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ПК 108000тг</t>
        </r>
      </text>
    </comment>
    <comment ref="H298" authorId="2" shapeId="0" xr:uid="{D7CFD513-C193-4758-9FC1-7410A96DA8DE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ПЗР-7чағ</t>
        </r>
      </text>
    </comment>
    <comment ref="H301" authorId="2" shapeId="0" xr:uid="{5BCE7E55-F3AB-4F0F-8CDD-4A7CA0E4662A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268ді - 221ге аустырды</t>
        </r>
      </text>
    </comment>
    <comment ref="H303" authorId="4" shapeId="0" xr:uid="{C3249368-F6FD-49C3-A270-F41BFAAEDA9E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Апаттан 10 пайыз кесілді.</t>
        </r>
      </text>
    </comment>
    <comment ref="M304" authorId="4" shapeId="0" xr:uid="{2D4D978F-C4AE-4369-99D2-2F455B177EA1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ГИС 1 рет қайтарылды.</t>
        </r>
      </text>
    </comment>
    <comment ref="M309" authorId="4" shapeId="0" xr:uid="{DF3404DC-6F93-419C-A6CF-FE14946F1D9C}">
      <text>
        <r>
          <rPr>
            <b/>
            <sz val="9"/>
            <color indexed="81"/>
            <rFont val="Tahoma"/>
            <family val="2"/>
            <charset val="204"/>
          </rPr>
          <t>Сагидолла Абишаев:</t>
        </r>
        <r>
          <rPr>
            <sz val="9"/>
            <color indexed="81"/>
            <rFont val="Tahoma"/>
            <family val="2"/>
            <charset val="204"/>
          </rPr>
          <t xml:space="preserve">
ГИС.  2- рет қайтарылды.</t>
        </r>
      </text>
    </comment>
    <comment ref="H310" authorId="0" shapeId="0" xr:uid="{A36AAC2D-43E6-4A8D-872B-2FA5DBD66FA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пзр-7с.</t>
        </r>
      </text>
    </comment>
    <comment ref="H316" authorId="0" shapeId="0" xr:uid="{E28B259F-2772-4718-BDE8-2ECD074F3994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</t>
        </r>
      </text>
    </comment>
    <comment ref="M316" authorId="0" shapeId="0" xr:uid="{FB192ACC-A927-4F0A-9D5B-DC34E8F8CDC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2-рет қайтарылды 200000т.</t>
        </r>
      </text>
    </comment>
    <comment ref="M318" authorId="0" shapeId="0" xr:uid="{9F3EA964-CF2A-4110-991F-72D9105FCE8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ОПП 1-рет қайтарылды 123000т. ГЗЖ 2-рет қайтарылды 200000т.</t>
        </r>
      </text>
    </comment>
    <comment ref="H321" authorId="2" shapeId="0" xr:uid="{280D726E-F457-4A73-94BE-C8BCF983ADAD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321" authorId="0" shapeId="0" xr:uid="{ABEF23A1-EDE9-4D7D-98F7-BE3A777BE88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1-рет қайтарылды 100000т.  ПК 2-рет қайтарылды. 216000т.</t>
        </r>
      </text>
    </comment>
    <comment ref="H322" authorId="2" shapeId="0" xr:uid="{B36718E4-199B-408F-AE0C-B51369B6D132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M322" authorId="0" shapeId="0" xr:uid="{B7463941-3DDF-4C01-AEDE-8EF878D2B733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қайтылды 108000т.</t>
        </r>
      </text>
    </comment>
    <comment ref="H323" authorId="0" shapeId="0" xr:uid="{595F09F7-B220-4A2E-9B29-AA9D8CF4DE2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пзр-7с.</t>
        </r>
      </text>
    </comment>
    <comment ref="M328" authorId="3" shapeId="0" xr:uid="{08D6577A-DBD4-4F94-9A0D-A26D98EC36EB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ГИС ОПП прихват -80 000тг</t>
        </r>
      </text>
    </comment>
    <comment ref="M330" authorId="3" shapeId="0" xr:uid="{759F9395-7BFE-4D85-950C-40BDB384A4F1}">
      <text>
        <r>
          <rPr>
            <b/>
            <sz val="9"/>
            <color indexed="81"/>
            <rFont val="Tahoma"/>
            <family val="2"/>
            <charset val="204"/>
          </rPr>
          <t>Динара Ессенжанова:</t>
        </r>
        <r>
          <rPr>
            <sz val="9"/>
            <color indexed="81"/>
            <rFont val="Tahoma"/>
            <family val="2"/>
            <charset val="204"/>
          </rPr>
          <t xml:space="preserve">
3-рет ГИС недоход -300 000тг.</t>
        </r>
      </text>
    </comment>
    <comment ref="H340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M340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1рет қайтарылды 100000т</t>
        </r>
      </text>
    </comment>
    <comment ref="M341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3-рет қайтарылды 324000т</t>
        </r>
      </text>
    </comment>
    <comment ref="H342" authorId="1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H345" authorId="1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M348" authorId="0" shapeId="0" xr:uid="{F14941D3-A15C-4E7C-B038-B2A4A936021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 
100000т</t>
        </r>
      </text>
    </comment>
    <comment ref="M355" authorId="0" shapeId="0" xr:uid="{4DA516E0-EFF6-4CE8-BCFD-14B2A2A0621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қайтарылды.
100000т</t>
        </r>
      </text>
    </comment>
    <comment ref="M356" authorId="0" shapeId="0" xr:uid="{ADAD2EEA-D2B8-4608-8415-13A6793E582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не кочества
1138800т</t>
        </r>
      </text>
    </comment>
    <comment ref="M358" authorId="0" shapeId="0" xr:uid="{6289BA51-1D8B-4029-985C-3EFF6EFA58C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қайтарылды
100000т</t>
        </r>
      </text>
    </comment>
    <comment ref="M366" authorId="0" shapeId="0" xr:uid="{1EA1C250-886F-42CE-AB2C-656E0452D27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қайтарылды 80000т</t>
        </r>
      </text>
    </comment>
    <comment ref="H367" authorId="0" shapeId="0" xr:uid="{532587B2-C4A3-42F7-9F68-9B7263390E4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M370" authorId="0" shapeId="0" xr:uid="{C554B5B6-D33B-4B84-83AB-9FABA788D61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80000т</t>
        </r>
      </text>
    </comment>
    <comment ref="M371" authorId="0" shapeId="0" xr:uid="{5D609DB5-1D4E-4EF7-B0C5-40B8F6D15F4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-108000  пк
</t>
        </r>
      </text>
    </comment>
    <comment ref="H378" authorId="0" shapeId="0" xr:uid="{05A67DD4-8B9B-4B71-B551-2B222D2F33B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H379" authorId="0" shapeId="0" xr:uid="{2A89D722-9A33-4C17-830A-3D55F8713C9B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M380" authorId="0" shapeId="0" xr:uid="{903561C7-C261-4CEF-97A2-E0F28758DC4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 108000</t>
        </r>
      </text>
    </comment>
    <comment ref="M385" authorId="0" shapeId="0" xr:uid="{CEB63071-6AF3-4304-8431-1FC02BF5133F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 80000</t>
        </r>
      </text>
    </comment>
    <comment ref="M386" authorId="0" shapeId="0" xr:uid="{5D330B9B-57A2-4700-A1E4-1139B6019E4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2рет 160000</t>
        </r>
      </text>
    </comment>
    <comment ref="M389" authorId="0" shapeId="0" xr:uid="{45255CD1-A84E-47DD-A453-F0F357CB9DF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не доход 100000т</t>
        </r>
      </text>
    </comment>
    <comment ref="H392" authorId="0" shapeId="0" xr:uid="{4C202220-1BA9-4EB3-8644-D51FCF448326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 кесілді</t>
        </r>
      </text>
    </comment>
    <comment ref="M393" authorId="0" shapeId="0" xr:uid="{FA90FC88-23A0-449A-82BF-8E7039E6783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 не жоход 432000т</t>
        </r>
      </text>
    </comment>
    <comment ref="M394" authorId="0" shapeId="0" xr:uid="{153715D9-7A61-46BB-B0CF-73361132092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140000 в/п кесілді,  гис-100000т</t>
        </r>
      </text>
    </comment>
    <comment ref="H395" authorId="0" shapeId="0" xr:uid="{9DBD6BC5-FB7F-42C0-8749-07CA88E78ED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пзр-7с. </t>
        </r>
      </text>
    </comment>
    <comment ref="M395" authorId="0" shapeId="0" xr:uid="{2ED177CE-98F4-4BFB-ABAA-C1B21A501B8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100000т.не доход</t>
        </r>
      </text>
    </comment>
    <comment ref="M396" authorId="0" shapeId="0" xr:uid="{0E667CE6-E84F-47AF-B607-7CF5CA21771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пк-108000т    опп-80000т кесілді</t>
        </r>
      </text>
    </comment>
    <comment ref="M399" authorId="0" shapeId="0" xr:uid="{7D637185-5AC2-43E5-ABF0-3A7765D4DFA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ГЗЖ не доход 200000т</t>
        </r>
      </text>
    </comment>
    <comment ref="H401" authorId="0" shapeId="0" xr:uid="{AD4B03DB-E6A3-466F-886D-1891C919075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пзр-7с.кесілді</t>
        </r>
      </text>
    </comment>
    <comment ref="H404" authorId="0" shapeId="0" xr:uid="{231F5E7B-4FC6-48FA-8425-0762A75C818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</t>
        </r>
      </text>
    </comment>
    <comment ref="H407" authorId="0" shapeId="0" xr:uid="{72342FE4-6ED1-47B4-85E3-9BE9D1F7AA1B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</t>
        </r>
      </text>
    </comment>
    <comment ref="H409" authorId="0" shapeId="0" xr:uid="{A9550A33-6DB8-42F5-9A0E-8BC147BD775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-5с.кесілді
</t>
        </r>
      </text>
    </comment>
    <comment ref="H411" authorId="0" shapeId="0" xr:uid="{A32AF73E-9396-4EE6-871B-A0694D1639A1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</t>
        </r>
      </text>
    </comment>
    <comment ref="M411" authorId="0" shapeId="0" xr:uid="{841F0E50-BE23-46C7-A384-EAC2E00C2872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гис -200000 кесілді</t>
        </r>
      </text>
    </comment>
    <comment ref="H412" authorId="0" shapeId="0" xr:uid="{145A9C09-FC5A-4831-A8A0-AAB67E487139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 
1 ГЗЖ кесілді</t>
        </r>
      </text>
    </comment>
    <comment ref="H413" authorId="0" shapeId="0" xr:uid="{923058E5-8065-4A45-B4AB-644F5A269BE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-7с.кесілді
</t>
        </r>
      </text>
    </comment>
    <comment ref="H415" authorId="0" shapeId="0" xr:uid="{EDCEB945-B7CF-4F15-948F-D3B8B19CB1F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</t>
        </r>
      </text>
    </comment>
    <comment ref="H416" authorId="0" shapeId="0" xr:uid="{64F91ED8-865D-4D4C-85F2-70431BC664D3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-7с.кесілдлі</t>
        </r>
      </text>
    </comment>
    <comment ref="M417" authorId="0" shapeId="0" xr:uid="{0055CE4C-1A5C-4805-88D6-46B72C42FFB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вз.пакер -140000 кесілді
</t>
        </r>
      </text>
    </comment>
    <comment ref="H424" authorId="2" shapeId="0" xr:uid="{6B081F31-BBB9-4E20-8137-D567F1F1E75E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ПК қиылды (возврат)</t>
        </r>
      </text>
    </comment>
    <comment ref="H433" authorId="2" shapeId="0" xr:uid="{222B6108-D0F4-4E06-A156-38555D894C91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ОПП-45сағ кесілді</t>
        </r>
      </text>
    </comment>
    <comment ref="H437" authorId="0" shapeId="0" xr:uid="{392618D5-2B99-48AF-AF89-7BB08BD8172C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M438" authorId="1" shapeId="0" xr:uid="{44E3153F-7623-4583-B5F5-A8899998602F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1рет кайтарылды -10000</t>
        </r>
      </text>
    </comment>
    <comment ref="M442" authorId="1" shapeId="0" xr:uid="{B300DC56-102D-416E-AB0B-27AD5D2FCF33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1 рет кайтарылды 100000</t>
        </r>
      </text>
    </comment>
    <comment ref="H445" authorId="2" shapeId="0" xr:uid="{E609A6F2-7E29-4487-BAD1-CA892D478B76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ОПП-45сағ кесілді</t>
        </r>
      </text>
    </comment>
    <comment ref="H453" authorId="2" shapeId="0" xr:uid="{29F4A8B4-2394-49F1-8FF6-3C622DAADC0A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 сағ</t>
        </r>
      </text>
    </comment>
    <comment ref="H460" authorId="1" shapeId="0" xr:uid="{5EF27E41-9D23-4059-BA49-3C2A160BB77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
</t>
        </r>
      </text>
    </comment>
    <comment ref="H464" authorId="1" shapeId="0" xr:uid="{EF7DED88-809B-455A-BC55-8AB72EA3BD5D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465" authorId="2" shapeId="0" xr:uid="{13A15439-B76A-4B00-9E01-9145E7E2C5D9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ПК кесілді</t>
        </r>
      </text>
    </comment>
    <comment ref="H470" authorId="0" shapeId="0" xr:uid="{AB537300-3C50-46BD-A651-45538037867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483" authorId="1" shapeId="0" xr:uid="{215AFE76-DAA1-4B47-B7EF-BEDC9F0FA3E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495" authorId="0" shapeId="0" xr:uid="{9B4D9C01-7CA9-4D05-9DB8-DC0B68B322D5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7с.кесілді</t>
        </r>
      </text>
    </comment>
    <comment ref="H500" authorId="0" shapeId="0" xr:uid="{6E0E0D6F-D188-4272-B055-2DCA2E9F692E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506" authorId="2" shapeId="0" xr:uid="{7502A419-1ED5-4879-9A95-FBDA5B356A54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ГЗЖ кесилди 39саг</t>
        </r>
      </text>
    </comment>
    <comment ref="H511" authorId="2" shapeId="0" xr:uid="{09E54DB4-BDC9-49E0-A837-8896D3DCCC8C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ГЗЖ 392ге киреди</t>
        </r>
      </text>
    </comment>
    <comment ref="H515" authorId="1" shapeId="0" xr:uid="{A6594BB4-BAC0-4416-8BEB-422F38990DF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без ПВО</t>
        </r>
      </text>
    </comment>
    <comment ref="H518" authorId="1" shapeId="0" xr:uid="{8A53F3B1-ECCC-43D2-B59B-248FFD6CBEE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521" authorId="2" shapeId="0" xr:uid="{9307B274-8A5E-48D5-9E66-CD32FF09DCDC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522" authorId="1" shapeId="0" xr:uid="{B83AEB37-B1E6-4E7B-AAF5-BF0333865B5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523" authorId="0" shapeId="0" xr:uid="{FD344887-A8F4-4A48-8DE8-52821B38F6E4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пзр7с.</t>
        </r>
      </text>
    </comment>
    <comment ref="H530" authorId="0" shapeId="0" xr:uid="{67675833-1B0B-47FF-BA67-74579932454D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7с,.</t>
        </r>
      </text>
    </comment>
    <comment ref="H540" authorId="1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 сағат</t>
        </r>
      </text>
    </comment>
    <comment ref="H541" authorId="1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пзр-7сагат</t>
        </r>
      </text>
    </comment>
    <comment ref="H555" authorId="1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558" authorId="1" shapeId="0" xr:uid="{7411B17B-31F2-4A77-B273-A5DF2E6E5F5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561" authorId="1" shapeId="0" xr:uid="{566188D1-3817-4103-834E-090463EBCCBE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563" authorId="1" shapeId="0" xr:uid="{03AA1E3B-90AC-4610-8B10-9ADBE9F42400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566" authorId="1" shapeId="0" xr:uid="{33AAA59C-C847-4943-B0B3-241BC7D09BA1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H569" authorId="1" shapeId="0" xr:uid="{3F691B1C-A733-4FB6-9B56-599FFC0FD5C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H571" authorId="1" shapeId="0" xr:uid="{127D8DC5-F063-413F-A0C8-40EFF7C58BCB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пзр-сағ7 </t>
        </r>
      </text>
    </comment>
    <comment ref="H572" authorId="1" shapeId="0" xr:uid="{1C9D59B7-48D1-4390-8AE0-6C8F27942E2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H577" authorId="1" shapeId="0" xr:uid="{EC004BD8-C3AC-4957-9A63-11102E7F0BE1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7сағ</t>
        </r>
      </text>
    </comment>
    <comment ref="M582" authorId="1" shapeId="0" xr:uid="{65B9328C-C8EF-446E-982B-EE5778AC201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недоход 2рет 300000тг</t>
        </r>
      </text>
    </comment>
    <comment ref="H585" authorId="1" shapeId="0" xr:uid="{ED4735D4-2ECE-4A53-8D70-FF72AEAC33A2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 сағ</t>
        </r>
      </text>
    </comment>
    <comment ref="M585" authorId="1" shapeId="0" xr:uid="{A8E4A6FE-11A8-430E-8157-58E3E18D820C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недоход 2рет 200000тг</t>
        </r>
      </text>
    </comment>
    <comment ref="H586" authorId="1" shapeId="0" xr:uid="{4306D0D1-2E86-47C7-9B2F-3DC69DA1FCE9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7саг</t>
        </r>
      </text>
    </comment>
    <comment ref="M601" authorId="1" shapeId="0" xr:uid="{24A9A18B-1A04-45E8-8D63-26F62A87A746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ГИС 608000тг
</t>
        </r>
      </text>
    </comment>
    <comment ref="M607" authorId="1" shapeId="0" xr:uid="{15987FF9-FB9D-4989-BDC6-FE6428D4C9E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408000тг </t>
        </r>
      </text>
    </comment>
    <comment ref="M608" authorId="1" shapeId="0" xr:uid="{51C18B4B-694C-42E5-9846-516814B0437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ГЗЖ 100000тг</t>
        </r>
      </text>
    </comment>
    <comment ref="H624" authorId="2" shapeId="0" xr:uid="{CBCEE599-EDE5-473C-B9E2-B3F62D6E1EB8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631" authorId="1" shapeId="0" xr:uid="{B8A0282C-6058-4368-BC75-706E5A71045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7саг</t>
        </r>
      </text>
    </comment>
    <comment ref="H633" authorId="1" shapeId="0" xr:uid="{0E009A8F-C2DC-4045-A043-CCFB9F9FE7A2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7саг</t>
        </r>
      </text>
    </comment>
    <comment ref="H639" authorId="1" shapeId="0" xr:uid="{9FE9CCCA-F7C8-4EA8-96B8-5BE5C9F2359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пзр-5</t>
        </r>
      </text>
    </comment>
    <comment ref="H640" authorId="1" shapeId="0" xr:uid="{A7A54C1A-40A8-4E2D-8C36-0AA2C9F5C963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H645" authorId="2" shapeId="0" xr:uid="{5A6806F4-EFDF-4BDF-A9B8-982728387D67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ПК-29сағ кесілді</t>
        </r>
      </text>
    </comment>
    <comment ref="H648" authorId="1" shapeId="0" xr:uid="{48157BA4-3F6A-4FB3-9667-27BD40826F33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H650" authorId="1" shapeId="0" xr:uid="{A214B0A5-0479-4905-BEF2-388D0090CEF5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</t>
        </r>
      </text>
    </comment>
    <comment ref="H653" authorId="1" shapeId="0" xr:uid="{BADFB0E2-DBC1-426C-8C75-4CD53FD58DA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
пзр-7сағ</t>
        </r>
      </text>
    </comment>
    <comment ref="H656" authorId="1" shapeId="0" xr:uid="{25192173-4453-4EBB-97F6-C8A3601FD024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666" authorId="0" shapeId="0" xr:uid="{626F4569-B030-4D3B-B0CA-BECE05E822E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668" authorId="0" shapeId="0" xr:uid="{829D59E3-38AE-40ED-8A3A-780FB37E35A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ПРЗ 7с.</t>
        </r>
      </text>
    </comment>
    <comment ref="H670" authorId="0" shapeId="0" xr:uid="{B68128BF-9478-4716-90FD-03B19AD7D8EA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671" authorId="0" shapeId="0" xr:uid="{FDF6A574-2B23-4152-AADC-AB730733DED7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7с.</t>
        </r>
      </text>
    </comment>
    <comment ref="H680" authorId="1" shapeId="0" xr:uid="{05B64E84-3A86-4FA9-8B3B-DF9438CFA9BA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681" authorId="1" shapeId="0" xr:uid="{C5DF3677-6241-4ADD-A480-5531969B471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пзр -7сағ</t>
        </r>
      </text>
    </comment>
    <comment ref="H686" authorId="1" shapeId="0" xr:uid="{73D59135-7AC8-43C2-8F13-081AA7FB6338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ДБРС Еркебулан 39+29 кесілді</t>
        </r>
      </text>
    </comment>
    <comment ref="H687" authorId="1" shapeId="0" xr:uid="{60269C67-96F8-463B-89AE-2DD01B168172}">
      <text>
        <r>
          <rPr>
            <b/>
            <sz val="9"/>
            <color indexed="81"/>
            <rFont val="Tahoma"/>
            <family val="2"/>
            <charset val="204"/>
          </rPr>
          <t>Сабит Бердимурадов:</t>
        </r>
        <r>
          <rPr>
            <sz val="9"/>
            <color indexed="81"/>
            <rFont val="Tahoma"/>
            <family val="2"/>
            <charset val="204"/>
          </rPr>
          <t xml:space="preserve">
после пакера  5сағ кесілді Еркебулан ДБРС</t>
        </r>
      </text>
    </comment>
    <comment ref="H689" authorId="2" shapeId="0" xr:uid="{DC2E8997-7909-43EE-AD2E-491AFBD5FDA1}">
      <text>
        <r>
          <rPr>
            <b/>
            <sz val="9"/>
            <color indexed="81"/>
            <rFont val="Tahoma"/>
            <family val="2"/>
            <charset val="204"/>
          </rPr>
          <t>Бауыржан Дильмагамбетов:</t>
        </r>
        <r>
          <rPr>
            <sz val="9"/>
            <color indexed="81"/>
            <rFont val="Tahoma"/>
            <family val="2"/>
            <charset val="204"/>
          </rPr>
          <t xml:space="preserve">
ПЗР-7сағ</t>
        </r>
      </text>
    </comment>
    <comment ref="H694" authorId="0" shapeId="0" xr:uid="{49E2C4F8-A5AE-426D-A21A-FA1886E5D220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ПЗР-7сағ. кесілді</t>
        </r>
      </text>
    </comment>
    <comment ref="H695" authorId="0" shapeId="0" xr:uid="{C7FC3DD7-71F8-4789-9B0F-ED4B670E7BF8}">
      <text>
        <r>
          <rPr>
            <b/>
            <sz val="9"/>
            <color indexed="81"/>
            <rFont val="Tahoma"/>
            <family val="2"/>
            <charset val="204"/>
          </rPr>
          <t>Бекзат Такенов:</t>
        </r>
        <r>
          <rPr>
            <sz val="9"/>
            <color indexed="81"/>
            <rFont val="Tahoma"/>
            <family val="2"/>
            <charset val="204"/>
          </rPr>
          <t xml:space="preserve">
ПЗР 7сағ.кесілді.</t>
        </r>
      </text>
    </comment>
  </commentList>
</comments>
</file>

<file path=xl/sharedStrings.xml><?xml version="1.0" encoding="utf-8"?>
<sst xmlns="http://schemas.openxmlformats.org/spreadsheetml/2006/main" count="1016" uniqueCount="495">
  <si>
    <t>Бағасы</t>
  </si>
  <si>
    <t>№</t>
  </si>
  <si>
    <t>Скважина</t>
  </si>
  <si>
    <t>ІУН сағ</t>
  </si>
  <si>
    <t>Нақты сағ</t>
  </si>
  <si>
    <t>Күрделі жөндеу</t>
  </si>
  <si>
    <t>Түрі</t>
  </si>
  <si>
    <t>ТҚ</t>
  </si>
  <si>
    <t>МК/ ҚҚСС</t>
  </si>
  <si>
    <t>Басы</t>
  </si>
  <si>
    <t>Соңы</t>
  </si>
  <si>
    <t>Р/с</t>
  </si>
  <si>
    <t>Бр.</t>
  </si>
  <si>
    <t>ҚҚСЦ-3</t>
  </si>
  <si>
    <t>ШСС-3а</t>
  </si>
  <si>
    <t>ҚҚСЦ-1</t>
  </si>
  <si>
    <t>1. ПК.</t>
  </si>
  <si>
    <t>ҚҚСЦ-4</t>
  </si>
  <si>
    <t>ШСС-8/9</t>
  </si>
  <si>
    <t>1. Ротор орнатпай апатты жою. 2. ГЗЖ.</t>
  </si>
  <si>
    <t>ШСС-7</t>
  </si>
  <si>
    <t>1. Ротор орнатпай апатты жою. 2. ГЗЖ. 3. ПК.</t>
  </si>
  <si>
    <t>1. Скин-ГРП.</t>
  </si>
  <si>
    <t>ШСС-4</t>
  </si>
  <si>
    <t xml:space="preserve">1. Басқа қабатқа ауыстыру. 2. ГЗЖ. 3. ПК. </t>
  </si>
  <si>
    <t>ШСС-1а</t>
  </si>
  <si>
    <t xml:space="preserve">1. Скважина түбін тазалау. 2. ПК. </t>
  </si>
  <si>
    <t>ШСС-4а</t>
  </si>
  <si>
    <t>1. Ротор орнатпай апатты жою. 2. ГЗЖ-ОПП.</t>
  </si>
  <si>
    <t>Батыс-Тенге</t>
  </si>
  <si>
    <t xml:space="preserve">1. Тізбек басын кесіп ауыстыру. </t>
  </si>
  <si>
    <t>1. Қабаттың өнімділігін арттыру (ЭКВ).</t>
  </si>
  <si>
    <t xml:space="preserve">1. Скважина түбін тазалау 2. ГЗЖ-ОПП.  </t>
  </si>
  <si>
    <t>1. Ротор орнатпай апатты жою. 2. ГЗЖ. 3. Күрделенген оқшаулау жұмыстары (Ф-114мм құбыр түсіру арқылы).</t>
  </si>
  <si>
    <t>1. ГЗЖ.</t>
  </si>
  <si>
    <t xml:space="preserve">1. ГЗЖ. 2. Экв айдау. </t>
  </si>
  <si>
    <t>1. ПК</t>
  </si>
  <si>
    <t>1. П/қ ақауын қосымша 4*құбыр түсіру арқылы бекіту. 2. ГЗЖ. 3. ПК.</t>
  </si>
  <si>
    <t xml:space="preserve">1. Скважина түбін тазалау. 2. ГЗЖ. 3. ПК. </t>
  </si>
  <si>
    <t>ПС-4</t>
  </si>
  <si>
    <t xml:space="preserve">1. Басқа қабатқа ауыстыру. 2. ГЗЖ. </t>
  </si>
  <si>
    <t xml:space="preserve">1. ПК. 2.  ГЗЖ-ОПП. </t>
  </si>
  <si>
    <t>1. Ротор орнатпай апатты жою. 2.  ГЗЖ (инклометрия). 3. Тізбек басын кесіп ауыстыру.</t>
  </si>
  <si>
    <t>1. Ротор орнатпай апатты жою. 2.  ГЗЖ-ОПП.</t>
  </si>
  <si>
    <t>1. Ротор орнатпай апатты жою. 2. Суланған қабатты оқшаулау. 3. ГЗЖ.</t>
  </si>
  <si>
    <t>1. Ротор орнатпай апатты жою. 2. Тізбек басын кесіп ауыстыру. 3. ГЗЖ-ОПП.</t>
  </si>
  <si>
    <t>1. Скважина түбін тазалау. 2. ПК. 3. П/Қ ақауын пакер түсіру арқылы бекіту. 4. ГЗЖ-ОПП.</t>
  </si>
  <si>
    <t>1. Ротор орнатпай апатты жою. 2. Скин-ГРП.</t>
  </si>
  <si>
    <t>ШСС-4г</t>
  </si>
  <si>
    <t>1. Басқа қабатқа ауыстыру. 2. ГЗЖ. 3. ПК.</t>
  </si>
  <si>
    <t>1. Скин-ГРП. 2.  ГЗЖ-ОПП.</t>
  </si>
  <si>
    <t>ҚҚСЦ-2</t>
  </si>
  <si>
    <t xml:space="preserve">1. Скважина түбін тазалау. 2. ГЗЖ. </t>
  </si>
  <si>
    <t>1. Тізбек басын кесіп ауыстыру. 2. ГЗЖ.</t>
  </si>
  <si>
    <t>1. П/Қ ақауын пакер түсіру арқылы бекіту.</t>
  </si>
  <si>
    <t>1. ГЗЖ. 2. Суланған қабатты оқшаулау. 3. ГЗЖ. 4. ПК.</t>
  </si>
  <si>
    <t>1. Скважина түбін тазалау. 2.  ГЗЖ. 3. ГЗЖ (инклометрия).</t>
  </si>
  <si>
    <t>1. ГЗЖ-ОПП  2. ПК</t>
  </si>
  <si>
    <t>1. ГЗЖ-ОПП 2. П/қ ақауын шегендеу арқылы бекіту. 2. ГЗЖ. 3. ПК.</t>
  </si>
  <si>
    <t>1. П/Қ ақауын пакер түсіру арқылы бекіту. 2. Скважина түбін тазарту. 3. ПК.</t>
  </si>
  <si>
    <t>1. Тізбек басын кесіп ауыстыру. 2. ГЗЖ. 3. П/тізбегінің ақауын шегендеу арқылы бекіту. 4. ГЗЖ.</t>
  </si>
  <si>
    <t>1. Ротор орнатпай апатты жою. 2. ПК. 3. ГЗЖ-ОПП.</t>
  </si>
  <si>
    <t xml:space="preserve">1. Басқа қабатқа ауыстыру. 2. ГЗЖ. 3. Тізбек басын кесіп ауыстыру. </t>
  </si>
  <si>
    <t>1. Скважина түбін тазалау. 2. ГЗЖ. 3. ПК.</t>
  </si>
  <si>
    <t>1. ГЗЖ-ОПП. 2. Суланған қабатты оқшаулау. 3. ГЗЖ. 4. ПК.</t>
  </si>
  <si>
    <t>1. Суланған қабатты оқшаулау. 2. ГЗЖ. 3. ПК</t>
  </si>
  <si>
    <t>1. Ротор орнатпай апатты жою. 2. П/Қ ақауын пакер түсіру арқылы бекіту. 3. ГЗЖ. 4. ПК.</t>
  </si>
  <si>
    <t>1. Скважина түбін тазалау. 2. ГЗЖ.</t>
  </si>
  <si>
    <t xml:space="preserve">1. Скважина бойын тазалау 2. ПК. </t>
  </si>
  <si>
    <t xml:space="preserve">1. ГЗЖ (инклометрия) 2. ПЗР </t>
  </si>
  <si>
    <t>1. Скважина түбін тазалау. 2. ГЗЖ-ОПП. 3. ПК.</t>
  </si>
  <si>
    <t xml:space="preserve">1. Скважина түбін тазалау. 2. ГЗЖ-ОПП.  </t>
  </si>
  <si>
    <t xml:space="preserve">1. Тізбек басын кесіп ауыстыру. 2. Ротор орнатпай апатты жою. </t>
  </si>
  <si>
    <t>1. Үлкен ротор орнату арқылы апатты жою. 2. ГЗЖ. 3. ПК.</t>
  </si>
  <si>
    <t>1. Ротор орнатпай апатты  жою. 2. ГЗЖ. 3. ГЗЖ. 4. ПК.</t>
  </si>
  <si>
    <t xml:space="preserve">1. Ротор орнатпай апатты жою. 2. ГЗЖ-ОПП. 3. Күрделенген оқшаулау жұмыстары (Ф-114мм құбыр түсіру арқылы). 4. ГЗЖ. 5. ПК. 6. Тізбек басын кесіп ауыстыру. </t>
  </si>
  <si>
    <t>1. ГЗЖ. 2. ПЗР</t>
  </si>
  <si>
    <t>1. ГЗЖ-ОПП. 2. П/Қ ақауын пакер түсіру арқылы бекіту.</t>
  </si>
  <si>
    <t xml:space="preserve">1. Ротор орнатпай апатты жою. </t>
  </si>
  <si>
    <t>1. Ротор орнатпай апатты жою. 2. ПК.</t>
  </si>
  <si>
    <t>1. Суланған қабатты оқшаулау. 2. ГЗЖ. 3. ПК.</t>
  </si>
  <si>
    <t xml:space="preserve">1. Үлкен ротор орнату арқылы апатты жою. 2. ГЗЖ. 3. ЭКВ айдау. </t>
  </si>
  <si>
    <t xml:space="preserve">1. Үлкен ротор орнату арқылы апатты жою. </t>
  </si>
  <si>
    <t>1. ГЗЖ. 2. П/қ ақауын қосымша 4*құбыр түсіру арқылы бекіту. 3. ГЗЖ. 4. ПК.</t>
  </si>
  <si>
    <t>1. Үлкен ротор орнату арқылы апатты жою. 2. ГЗЖ. 3. Басқа қабатқа ауыстыру. 4. ГЗЖ. 5. ПК. 6. Тізбек басын кесіп ауыстыру.</t>
  </si>
  <si>
    <t>1. Ротор орнатпай апатты жою. 2. ГЗЖ. 3. Күрделенген оқшаулау жұмысы (Ø-114мм.құбыр түсіру арқылы). 4. ГЗЖ. 5. ПК.</t>
  </si>
  <si>
    <t>1. Басқа қабатқа ауыстыру. 2. ГЗЖ.</t>
  </si>
  <si>
    <t>ШСС-10</t>
  </si>
  <si>
    <t>1. ГЗЖ. 2. П/қ ақауын шегендеу арқылы бекіту. 3. ГЗЖ. 4. Суланған қабатты оқшаулау. 5. ПК.</t>
  </si>
  <si>
    <t>ШСС-5</t>
  </si>
  <si>
    <t>1. Суланған қабатты оқшаулау. 2. ГЗЖ. 3. Скин-ГРП.</t>
  </si>
  <si>
    <t>1. Скважина түбін тазалау.</t>
  </si>
  <si>
    <t>1. Скважина түбін тазалау. 2. ГЗЖ-ОПП 3. ГЗЖ. 4. ГЗЖ. 5. ПК</t>
  </si>
  <si>
    <t>1. Ротор орнатпай апатты жою. 2. ГЗЖ-ОПП. 3. ПК. 4. Тізбек басын кесіп ауыстыру.</t>
  </si>
  <si>
    <t>1. Басқа қабатқа ауыстыру. 2. ГЗЖ. 3. П/Қ ақауын шегендеу арқылы бекіту. 4. ГЗЖ. 5. ПК</t>
  </si>
  <si>
    <t xml:space="preserve">1. Күрделенген апатты үлкен ротор орнату арқылы жою. 2. ГЗЖ. </t>
  </si>
  <si>
    <t>ШСС-2а</t>
  </si>
  <si>
    <t>1. Скважина бойын тазалау. 2. Тізбек басын кесіп ауыстыру.</t>
  </si>
  <si>
    <t xml:space="preserve">1. Скважина түбін тазалау. 2. ПК. 3. П/Қ ақауын пакер түсіру арқылы бекіту. </t>
  </si>
  <si>
    <t>1. ГЗЖ. 2. Тізбекаралық су ағысын тоқтату. 3. П/тізбегінің ақауын шегендеу арқылы бекіту. 4. ГЗЖ. 5. ПК.</t>
  </si>
  <si>
    <t>1. П/Қ ақауын пакер түсіру арқылы бекіту. 2. ГЗЖ.</t>
  </si>
  <si>
    <t>1. Ротор орнатпай апатты жою. 2. ГЗЖ. 3. ГЗЖ-ОПП</t>
  </si>
  <si>
    <t>1. Скважина түбін тазарту. 2. ГЗЖ-ОПП. 3. ПК.</t>
  </si>
  <si>
    <t xml:space="preserve">1. Скважина түбін тазалау. 2. Тізбек басын кесіп ауыстыру. 3. ГЗЖ. 4. ГЗЖ-ОПП. 5. Басқа қабатқа ауыстыру. 6. ГЗЖ. 7. ПК. </t>
  </si>
  <si>
    <t>1. Скважина пайдалану құбырының бойын тазалау. 2. ПК.</t>
  </si>
  <si>
    <t>1. Суланған қабатты оқшаулау 2. ПК</t>
  </si>
  <si>
    <t>1. Үлкен ротор орнату арқылы апатты жою. 2. ГЗЖ. 3. ПК</t>
  </si>
  <si>
    <t>1. Скважина түбін тазалау. 2. ГЗЖ. 3. ГЗЖ-ОПП. 4. ПК.</t>
  </si>
  <si>
    <t>1. Ротор орнатпай апатты жою. 2. ГЗЖ. 3. ГЗЖ-ОПП. 4. Басқа қабатқа ауыстыру. 5. ГЗЖ. 6. ПК.</t>
  </si>
  <si>
    <t>1. Жарылғыш пакер. 2. Скин-ГРП.</t>
  </si>
  <si>
    <t>1. Құбыраралық кеңістіктің ағысын тоқтату. 2. ГЗЖ-ОПП. 4. Суланған қабатты оқшаулау. 5. ГЗЖ. 6. ПК.</t>
  </si>
  <si>
    <t>1.Скважина түбін тазалау. 2. П/Қ  ақауын  қосымша муфтасыз 4*құбыр түсіру арқылы бекіту. 3.ГЗЖ 4.ГЗЖ</t>
  </si>
  <si>
    <t xml:space="preserve">1. Скважина түбін тазалау 2. ГЗЖ-ОПП 3. П/қ ақауын пакер түсіру арқылы бекіту.  4.ПК </t>
  </si>
  <si>
    <t>1.Суланған қабатты оқшаулау 2. ГЗЖ 3. ПК</t>
  </si>
  <si>
    <t xml:space="preserve">1. Пайдалану құбырының ақауын шегендеу арқылы бекіту. 2 .ГЗЖ 3 .ГЗЖ 4. ОПП </t>
  </si>
  <si>
    <t xml:space="preserve">1. П/тізбегінің ақауын шегендеу арқылы бекіту. 2. ГЗЖ. </t>
  </si>
  <si>
    <t>1. Скважина түбін тазалау. 2. ГЗЖ. 3. ГЗЖ-ОПП.</t>
  </si>
  <si>
    <t xml:space="preserve">1. ГЗЖ. 2. П/қ ақауын қосымша 4*құбыр түсіру арқылы бекіту. </t>
  </si>
  <si>
    <t xml:space="preserve">1. П/қ ақауын қосымша 4*құбыр түсіру арқылы бекіту. </t>
  </si>
  <si>
    <t xml:space="preserve">1. П/Қ ақауын пакер түсіру арқылы бекіту. 2. ГЗЖ-ОПП. </t>
  </si>
  <si>
    <t>1. Суланған қабатты оқшаулау. 2. Скин-ГРП.</t>
  </si>
  <si>
    <t xml:space="preserve">1. Басқа қабатқа ауыстыру. 2. ГЗЖ. 3. П/қ ақауын қосымша 4*құбыр түсіру арқылы бекіту. </t>
  </si>
  <si>
    <t>1. Ротор орнатпай апатты жою 2. ГЗЖ 3. ОПП 4. ПК</t>
  </si>
  <si>
    <t>1. Басқа қабатқа ауыстыру 2. ГЗЖ</t>
  </si>
  <si>
    <t>1. П/Қ ақауын пакер түсіру арқылы бекіту. 2. ПК.</t>
  </si>
  <si>
    <t>1. Басқа қабатқа ауыстыру. 2. Күрделенген оқшаулау жұмысы (Ø-114мм.құбыр түсіру арқылы). 3. ГЗЖ. 4. ПК.</t>
  </si>
  <si>
    <t xml:space="preserve">1. Ротор орнатпай апатты жою. 2. ГЗЖ. </t>
  </si>
  <si>
    <t xml:space="preserve">1. Ротор орнатпай апатты жою. 2. ПК. </t>
  </si>
  <si>
    <t>ШСС-2в</t>
  </si>
  <si>
    <t>1. Үлкен ротор орнату арқылы апатты жою. 2. ГЗЖ.</t>
  </si>
  <si>
    <t xml:space="preserve">1. Суланған қабатты оқшаулау. 2. ГЗЖ. </t>
  </si>
  <si>
    <t>1. Скважина түбін тазалау. 2. ГЗЖ. 3. Суланған қабатты оқшаулау. 4. ГЗЖ. 5. ПК. 6. Тізбек басын кесіп ауыстыру.</t>
  </si>
  <si>
    <t>ШСС-5а</t>
  </si>
  <si>
    <t xml:space="preserve">1. Скважина түбін тазалау. 2. ГЗЖ-ОПП. </t>
  </si>
  <si>
    <t>1. Басқа қабатқа ауыстыру. 2. ГЗЖ. 3. П/тізбегінің ақауын шегендеу арқылы бекіту.  4. ГЗЖ. 5. ПК</t>
  </si>
  <si>
    <t>1. ГЗЖ. 2. ГЗЖ-ОПП. 3. Суланған қабатты оқшаулау. 4. Тізбек басын кесіп ауыстрыу. 5. ГЗЖ. 6. ПК</t>
  </si>
  <si>
    <t xml:space="preserve">1. П/Қ ақауын пакер түсіру арқылы бекіту. </t>
  </si>
  <si>
    <t>1. Күрделенген оқшаулау жұмысы (Ø-114мм.құбыр түсіру арқылы). 2. ГЗЖ. 3. ПК.</t>
  </si>
  <si>
    <t>1. ГЗЖ-ОПП. 2. ПК.</t>
  </si>
  <si>
    <t>1. Суланған қабатты оқшаулау. 2. ГЗЖ. 3. ГЗЖ. 4. ГЗЖ-ОПП. 5. ПК.</t>
  </si>
  <si>
    <t>1. Басқа қабатқа ауыстыру. 2. ПК. 3. ГЗЖ. 4. П/тізбегінің ақауын шегендеу арқылы бекіту. 5. ГЗЖ.</t>
  </si>
  <si>
    <t>1. ПЗР (сорап ауыстыру).</t>
  </si>
  <si>
    <t>ШСС-6</t>
  </si>
  <si>
    <t>1. Скважина түбін тазалау. 2. ГЗЖ-ОПП. 3. Күрделенген оқшаулау жұмысы (Ø-114мм.құбыр түсіру арқылы). 4. ГЗЖ. 5. ПК</t>
  </si>
  <si>
    <t xml:space="preserve">1. ГЗЖ. 2. Басқа қабатқа ауыстыру. 3. ПК. </t>
  </si>
  <si>
    <t xml:space="preserve">1. Күрделенген апатты үлкен ротор орнату арқылы жою. 2. ПК. </t>
  </si>
  <si>
    <t xml:space="preserve">1. ГЗЖ-ОПП. 2. Суланған қабатты оқшаулау. 3. ПК
</t>
  </si>
  <si>
    <t>ШСС-2</t>
  </si>
  <si>
    <t xml:space="preserve">1. Ротор орнатпай апатты жою. 2. ГЗЖ-ОПП. </t>
  </si>
  <si>
    <t>ШСС-3</t>
  </si>
  <si>
    <t>1. Күрделенген апатты үлкен ротор орнату арқылы жою. 2. ГЗЖ. 3. П/Қ ақауын пакер түсіру арқылы бекіту. 3. ГЗЖ.</t>
  </si>
  <si>
    <t>1. Тереңдігі 2170-3500м. ұңғымаларда басқа қабаттарға (үстіңгі және астыңғы) оралу. 2. ГЗЖ. 3. ПК</t>
  </si>
  <si>
    <t>1. Ротор орнатпай апатты жою. 2. ГЗЖ. 3. Тізбек басын кесіп ауыстыру,</t>
  </si>
  <si>
    <t>1. Скважина түбін тазалау. 2. ПК. 3. П/Қ ақауын пакер түсіру арықылы бекіту. 4. ГЗЖ</t>
  </si>
  <si>
    <t>1. Құбыраралық кеңістіктің ағысын тоқтату. 2. ГЗЖ. 3. П/Қ ақауын пакер түсіру арықылы бекіту.</t>
  </si>
  <si>
    <t>1. Скважина түбін тазалау. 2. ГЗЖ. 3. ПК. 4. ГЗЖ-ОПП.</t>
  </si>
  <si>
    <t>1. Тізбек басын кесіп ауыстыру. 2. ГЗЖ. 3. П/Қ ақауын пакер түсіру арықылы бекіту.</t>
  </si>
  <si>
    <t>1. П/қ ақауын қосымша 4*құбыр түсіру арқылы бекіту. 2. Скин-ГРП.</t>
  </si>
  <si>
    <t>1. П/Қ ақауын пакер түсіру арықылы бекіту.</t>
  </si>
  <si>
    <t xml:space="preserve">1. Ротор орнатпай апатты жою. 2. ГЗЖ-ОПП. 3. Тізбек басын кесіп ауыстыру. </t>
  </si>
  <si>
    <t xml:space="preserve">1. ГЗЖ-ОПП. 2. Скин-ГРП. </t>
  </si>
  <si>
    <t xml:space="preserve">1. Скважина түбін тазалау. 2. Күрделенген оқшаулау жұмысы (Ø-114мм.құбыр түсіру арқылы). 3. ГЗЖ. </t>
  </si>
  <si>
    <t xml:space="preserve">1. Ротор орнатпай апатты жою. 2. ГЗЖ. 3. Күрделенген оқшаулау жұмысы (Ø-114мм.құбыр түсіру арқылы). </t>
  </si>
  <si>
    <t xml:space="preserve">1. П/Қ ақауын пакер түсіру арқылы бекіту. 2. ПК. </t>
  </si>
  <si>
    <t>1. Суланған қабатты оқшаулау. 2. ГЗЖ. 3. ГЗЖ. 4. ПК.</t>
  </si>
  <si>
    <t>1. Ротор орнатпай апатты жою. 2. Суланған қабатты оқшаулау. 3. ГЗЖ. 4. ПК. 5. П/Қ ақауын пакер түсіру арықылы бекіту. 6. ГЗЖ.</t>
  </si>
  <si>
    <t>1. Ротор орнатпай апатты жою. 2. ГЗЖ. 3. ГЗЖ-ОПП. 4. ПК.</t>
  </si>
  <si>
    <t xml:space="preserve">1. ГЗЖ-ОПП  2. П/Қ  ақауын  қосымша муфтасыз 4*құбыр түсіру арқылы бекіту.  </t>
  </si>
  <si>
    <t>1. П/тізбегінің ақауын шегендеу арқылы бекіту. 2. ГЗЖ. 3. ПК.</t>
  </si>
  <si>
    <t xml:space="preserve">1. Басқа қабатқа ауыстыру. 2. ГЗЖ. 3. ПК. 4. Тізбек басын кесіп ауыстыру. </t>
  </si>
  <si>
    <t xml:space="preserve">1. Суланған қабатты оқшаулау. 2. ГЗЖ-ОПП. </t>
  </si>
  <si>
    <t>1. Ротор орнатпай апатты жою. 2. ГЗЖ. 3. Суланған қабатты оқшаулау. 4. ПК. 5. ГЗЖ.</t>
  </si>
  <si>
    <t>1. Басқа қабатқа  ауыстыру 2. Скин-ГРП</t>
  </si>
  <si>
    <t>1. Ротор орнатпай апатты жою. 2. ГЗЖ. 3. ПК  4. П/Қ ақауын пакер түсіру арқылы бекіту.</t>
  </si>
  <si>
    <t>1. Ротор орнатпай апатты жою.</t>
  </si>
  <si>
    <t>1. Скважина түбін тазалау. 2. ГЗЖ. 3. Суланған қабатты оқшаулау. 4. ПК. 5. ГЗЖ.</t>
  </si>
  <si>
    <t>1. ПЗР</t>
  </si>
  <si>
    <t>1. Құбыраралық кеңістіктің ағысын тоқтату. 2. ГЗЖ. 3. Тізбек басын кесіп ауыстыру. 4. ГЗЖ-ОПП.</t>
  </si>
  <si>
    <t>1. Үлкен ротор орнату арқылы апатты жою. 2. ПК.</t>
  </si>
  <si>
    <t>1. Тізбек басын кесіп ауыстыру. 2. ГЗЖ. 3. ГЗЖ (жарылғыш пакер). 4. ГЗЖ.</t>
  </si>
  <si>
    <t>1. Скважина түбін тазалау. 2. ГЗЖ. 3. П/Қ ақауын пакер түсіру арықылы бекіту.</t>
  </si>
  <si>
    <t>1. Скважина түбін тазалау. 2. Тізбек басын кесіп ауыстыру. 3. ПК. 4. П/Қ ақауын пакер түсіру арықылы бекіту. 5. ГЗЖ.</t>
  </si>
  <si>
    <t xml:space="preserve">1. Ротор орнатпай апатты жою. 2. ГЗЖ. 3. ГЗЖ-ОПП. </t>
  </si>
  <si>
    <t>шсс-10</t>
  </si>
  <si>
    <t>1. Суланған қабатты оқшаулау. 2. ГЗЖ.3. П/Қ ақауын пакер түсіру арықылы бекіту. 4. ГЗЖ- ОПП</t>
  </si>
  <si>
    <t>шсс-8/9</t>
  </si>
  <si>
    <t>1. Скважина түбін тазалау. 2. ГЗЖ- ОПП.</t>
  </si>
  <si>
    <t>1. Басқа қабатқа ауыстыру. 2. ГЗЖ. 3. ГЗЖ. 4. ПК. 5. ГЗЖ-ОПП</t>
  </si>
  <si>
    <t xml:space="preserve">1. Суланған қабатты оқшаулау. 2. ГЗЖ. 3. ПК. </t>
  </si>
  <si>
    <t xml:space="preserve">1. Скважина түбін тазалау. </t>
  </si>
  <si>
    <t xml:space="preserve">1. ГЗЖ. 2. ПК. 3. Тізбек басын кесіп ауыстыру. </t>
  </si>
  <si>
    <t>1. Скважина түбін тазлау. 2. ПК.</t>
  </si>
  <si>
    <t xml:space="preserve">1. Суланған қабатты оқшаулау.2. ГЗЖ  </t>
  </si>
  <si>
    <t>1. Үлкен ротор орнату арқылы апатты жою</t>
  </si>
  <si>
    <t xml:space="preserve">1. Тізбек басын кесіп ауыстыру. 2. Суланған қабатты оқшаулау. 3. ГЗЖ 4. ПК. 5. ГЗЖ-ОПП.  </t>
  </si>
  <si>
    <t xml:space="preserve">1. Суланған қабатты оқшаулау. 2. ГЗЖ. 3.ПК.  </t>
  </si>
  <si>
    <t>1. Скважина түбін тазалау. 2. П/қ ақауын қосымша 4*құбыр түсіру арқылы бекіту. 3. ПК.</t>
  </si>
  <si>
    <t xml:space="preserve">1. Суланған қабатты оқшаулау. 2. ГЗЖ. 3. ПК.  </t>
  </si>
  <si>
    <t>1. П/қ ақауын қосымша 4*құбыр түсіру арқылы бекіту. 2. ПК.</t>
  </si>
  <si>
    <t>1. Үлкен ротор орнату арқылы апатты жою. 2. ГЗЖ. 3. ПК. 4. П/Қ ақауын пакер түсіру арықылы бекіту.</t>
  </si>
  <si>
    <t xml:space="preserve">1. Скважина түбін тазлау. 2. ПК. </t>
  </si>
  <si>
    <t xml:space="preserve"> 1. Ротор орнатпай апатты жою. 2. П/Қ ақауын пакер түсіру арықылы бекіту. 3. ГЗЖ. 4. Тізбек басын кесіп ауыстыру. </t>
  </si>
  <si>
    <t>1. ГЗЖ. 2. ГЗЖ-ОПП.</t>
  </si>
  <si>
    <t>1. П/Қ ақауын пакер түсіру арықылы бекіту. 2. ГЗЖ.</t>
  </si>
  <si>
    <t xml:space="preserve">1. Скважина түбін тазалау. 2. ГЗЖ (жарылғыш пакер). 3. ГЗЖ. </t>
  </si>
  <si>
    <t xml:space="preserve">1.  ПК. </t>
  </si>
  <si>
    <t xml:space="preserve">1. ГЗЖ. 2.  П/қ ақауын қосымша 4*құбыр түсіру арқылы бекіту. </t>
  </si>
  <si>
    <t xml:space="preserve">1. ГЗЖ (жарылғыш пакер). 2. ГЗЖ. 3. ПК. 4. Тізбек басын кесіп ауыстыру. </t>
  </si>
  <si>
    <t>1. ГЗЖ (жарылғыш пакер). 2. ГЗЖ. 3. ПК.</t>
  </si>
  <si>
    <t>1. П/Қ ақауын пакер түсіру арықылы бекіту. 2. ГЗЖ. 3. ПК.</t>
  </si>
  <si>
    <t xml:space="preserve">1. ГЗЖ (жарылғыш пакер). 2. ГЗЖ. </t>
  </si>
  <si>
    <t>1. Скважина түбін тазлау. 2. ГЗЖ.</t>
  </si>
  <si>
    <t xml:space="preserve">1. Скважина бойын тазалау. 2. Тізбек басын кесіп ауыстыру. 3. ПК. 4. ГЗЖ-ОПП. </t>
  </si>
  <si>
    <t>1. Ротор орнатпай апатты жою. 2. П/Қ ақауын пакер түсіру арықылы бекіту. 3. ГЗЖ-ОПП.</t>
  </si>
  <si>
    <t xml:space="preserve">1. Үлкен ротор орнату арқылы апатты жою. 2. ГЗЖ. 3. ГЗЖ-ОПП. 4. ПК. </t>
  </si>
  <si>
    <t>ШСС-6а</t>
  </si>
  <si>
    <t>1. Басқа қабатқа ауыстыру. 2.Скин-ГРП</t>
  </si>
  <si>
    <t>1. Тереңдігі 2170-3500м. ұңғымаларда басқа қабаттарға (үстіңгі және астыңғы) оралу. 2. ПК</t>
  </si>
  <si>
    <t>1. ПК. 2. П/Қ ақауын пакер түсіру арықылы бекіту</t>
  </si>
  <si>
    <t>1. ГЗЖ-ОПП. 2. ГЗЖ (жарылғыш пакер). 3. ГЗЖ. 4. ПК.</t>
  </si>
  <si>
    <t>1. Скважина түбін тазлау. 2. ГЗЖ. 3. ГЗЖ. 4. Күрделенген оқшаулау жұмысы (Ø-114мм.құбыр түсіру арқылы). 5. ГЗЖ. 6. ГЗЖ-ОПП. 7. ПК.</t>
  </si>
  <si>
    <t xml:space="preserve">1. ГЗЖ. 2. ГЗЖ. 3.  ГЗЖ (жарылғыш пакер). 4. Тізбек басын кесіп ауыстыру.  </t>
  </si>
  <si>
    <t>1. Күрделенген апатты үлкен ротор орнату арқылы жою. 2. ГЗЖ. 3. ГЗЖ-ОПП.</t>
  </si>
  <si>
    <t>ШСС-1</t>
  </si>
  <si>
    <t xml:space="preserve">1. Үлкен ротор орнату арқылы апатты жою. 2. ГЗЖ. 3. ГЗЖ-ОПП. 4. Күрделенген оқшаулау жұмысы (Ø-114мм.құбыр түсіру арқылы). 5. ГЗЖ. 6. ПК. </t>
  </si>
  <si>
    <t>1. Күрделенген апатты үлкен ротор орнату арқылы жою. 2. ГЗЖ. 3. ПК.</t>
  </si>
  <si>
    <t xml:space="preserve">1. ГЗЖ. 2. П/қ ақауын қосымша 4*құбыр түсіру арқылы бекіту. 3. Скин-ГРП. </t>
  </si>
  <si>
    <t xml:space="preserve">1. Күрделенген оқшаулау жұмысы (Ø-114мм.құбыр түсіру арқылы). 2. ПК. </t>
  </si>
  <si>
    <t xml:space="preserve">1. Үлкен ротор орнату арқылы апатты жою. 2.  ГЗЖ. 3. ПК. </t>
  </si>
  <si>
    <t xml:space="preserve">1. П/қ ақауын пакер түсіру арқылы бекіту.  </t>
  </si>
  <si>
    <t>1. ГЗЖ (жарылғыш пакер). 2. ГЗЖ. 3. ПК. 4. Басқа қабатқа ауыстыру</t>
  </si>
  <si>
    <t>1. ГЗЖ (жарылғыш пакер). 2. ГЗЖ. 3. Скин-ГРП.</t>
  </si>
  <si>
    <t xml:space="preserve">1. ГЗЖ. 3. ПК. </t>
  </si>
  <si>
    <t xml:space="preserve">1. Ротор орнатпай апатты жою. 2. П/Қ ақауын пакер түсіру арықылы бекіту. </t>
  </si>
  <si>
    <t xml:space="preserve">1. Скважина түбін тазалау. 2. Ағыс кескінін анықтау ГЗЖ-ОПП. 3. Күрделенген оқшаулау жұмыстары (4* құбыр түсірі арқылы). 4. Скин ГРП жұмысына дайындау.   </t>
  </si>
  <si>
    <t>1. Скважина түбін  тазалау 2. ПК</t>
  </si>
  <si>
    <t>1. Басқа қабатқа ауыстыру 2. ГЗЖ 3. ПК</t>
  </si>
  <si>
    <t xml:space="preserve">1. Ротор орнатпай апатты жою 2. ГЗЖ </t>
  </si>
  <si>
    <t xml:space="preserve">1. Ротор орнату арқылы апатты жою 2. ГЗЖ 3.  П/қ ақауын пакер түсіру арқылы бекіту. 4. ГЗЖ-ОПП. </t>
  </si>
  <si>
    <t>1. Ротор орнату арқылы апатты жою 2. ГЗЖ ОПП</t>
  </si>
  <si>
    <t>1. Басқа қабатқа ауыстыру 2. Скважина бойын тазалау 3. Скин-ГРП 4. Тізбек басын кесіп ауыстыру</t>
  </si>
  <si>
    <t>1. Басқа қабатқа ауыстыру 2. ГЗЖ. 3. ПК.</t>
  </si>
  <si>
    <t>Батыс Тенге</t>
  </si>
  <si>
    <t>1. Скважина түбін тазалау 2. Басқа қабатқа ауыстыру. 3. ГЗЖ. 4. ПК.</t>
  </si>
  <si>
    <t>1. Скважина түбін тазалау. 2. ГЗЖ-ОПП.</t>
  </si>
  <si>
    <t xml:space="preserve">1. Скважина түбін тазалау. 2. ГЗЖ. 3. П/Қ ақауын пакер түсіру арықылы бекіту. 4. ПК. </t>
  </si>
  <si>
    <t>1. Скважина түбін тазалау. 2. ГЗЖ. 3.ПК</t>
  </si>
  <si>
    <t>1. ГЗЖ-ОПП. 2. Скважина түбін тазалау. 3. Суланған қабатты оқшаулау. 4. ГЗЖ. 5. ПК.</t>
  </si>
  <si>
    <t>1. Скважина түбін тазалау. 2. ПК.</t>
  </si>
  <si>
    <t>1. Скважина түбін тазалау. 2. ПК. 3. П/Қ ақауын пакер түсіру арықылы бекіту. 4. ГЗЖ-ОПП.</t>
  </si>
  <si>
    <t xml:space="preserve">1. Скважина түбін тазалау. 2. ГЗЖ. 3. Суланған қабатты оқшаулау. 4. ПК. </t>
  </si>
  <si>
    <t xml:space="preserve">1. П/қ ақауын қосымша 4*құбыр түсіру арқылы бекіту. 2. Скин-ГРП. </t>
  </si>
  <si>
    <t>1. ГЗЖ. 2. ГЗЖ ОПП</t>
  </si>
  <si>
    <t>1. Скважина түбін тазалау 2. Тізбек басын кесіп ауыстыру 3. ГЗЖ. 4. ГЗЖ-ОПП</t>
  </si>
  <si>
    <t>Ақтас</t>
  </si>
  <si>
    <t xml:space="preserve">1. Скважина түбін тазлау. 2. Скин-ГРП. 3. Тізбек басын кесіп ауыстыру. </t>
  </si>
  <si>
    <t>1. Скважина түбін тазалау. 2. Суланған қабатты оқшаулау. 3. ГЗЖ. 4. ПК.</t>
  </si>
  <si>
    <t>1. Құбыраралық кеңістіктің ағысын тоқтату. 2. П/қ ақауын пакер түсіру арқылы бекіту.  3. ГЗЖ-ОПП</t>
  </si>
  <si>
    <t>1. Басқа қабатқа ауыстыру. 2. Скин-ГРП</t>
  </si>
  <si>
    <t>1. МГРП</t>
  </si>
  <si>
    <t>Қарамандыбас газ</t>
  </si>
  <si>
    <t>1. Басқа қабатқа ауыстыру. 2. ПК</t>
  </si>
  <si>
    <t>1. Скважина түбін тазалау. 2. П/қ ақауын қосымша 4*құбыр түсіру арқылы бекіту. 3. Скин-ГРП</t>
  </si>
  <si>
    <t>1. Ротор орнатпай апатты жою. 2. ГЗЖ. 3. ГЗЖ. 4. ПК</t>
  </si>
  <si>
    <t xml:space="preserve">1. ГЗЖ. 2. Құбыраралық кеңістіктің ағысын тоқтату. 3. ГЗЖ-ОПП. </t>
  </si>
  <si>
    <t>1. Қоса пайдаланудағы қабаттың жоғарғы қабатын шегендеу арқылы оқшаулау. 2. ГЗЖ. 3. ПК</t>
  </si>
  <si>
    <t xml:space="preserve">1. ГЗЖ-ОПП 2. П/қ ақауын қосымша 4*құбыр түсіру арқылы бекіту. 2. ГЗЖ. 3. ПК. </t>
  </si>
  <si>
    <t xml:space="preserve">1. ПК. </t>
  </si>
  <si>
    <t>1. Тізбек басын кесіп ауыстыру. 2. ГЗЖ. 3. Құбыраралық кеңістіктің ағысын тоқтату.</t>
  </si>
  <si>
    <t>1. Суланған қабатты оқшаулау. 2. ГЗЖ. 3. ПК. 4. Тізбек басын кесіп ауыстыру.</t>
  </si>
  <si>
    <t xml:space="preserve">1. Скважина бойын тазлау. 2. ГЗЖ-ОПП. </t>
  </si>
  <si>
    <t xml:space="preserve">1. Скважина түбін тазлау. 2. ГЗЖ. </t>
  </si>
  <si>
    <t>1. Ротор орнатпай апатты жою. 2. ГЗЖ. 3. П/қ ақауын қосымша 4*құбыр түсіру арқылы бекіту. 4. ПК.</t>
  </si>
  <si>
    <t>1. Үлкен ротор орнату арқылы жою. 2. ГЗЖ. 3. ГЗЖ-ОПП. 4. Суланған қабатты оқшаулау. 5. ГЗЖ. 6. ПК. 7. Тізбек басын кесіп ауыстыру.</t>
  </si>
  <si>
    <t>1. ГЗЖ. 2. ПК.</t>
  </si>
  <si>
    <t xml:space="preserve">1. П/қ ақауын қосымша 4*құбыр түсіру арқылы бекіту. 2. ПК. </t>
  </si>
  <si>
    <t>1. Скважина түбін тазалау. 2. ГЗЖ-ОПП  3.ПК.</t>
  </si>
  <si>
    <t>1. Суланған қабатты оқшаулау. 2. ПК.</t>
  </si>
  <si>
    <t>1. Басқа қабатқа ауыстыру. 2. ГЗЖ</t>
  </si>
  <si>
    <t>27.03.2025 11.05.2025</t>
  </si>
  <si>
    <t>18.04.2025 14.05.2025</t>
  </si>
  <si>
    <t xml:space="preserve">1. Үлкен ротор орнату арқылы жою. 2. П/қ ақауын пакер түсіру арқылы бекіту. 3. ГЗЖ-ОПП. 4. ПК.                                      </t>
  </si>
  <si>
    <t>1. П/қ ақауын пакер түсіру арқылы бекіту.  2. ГЗЖ-ОПП.</t>
  </si>
  <si>
    <t xml:space="preserve">1. П/қ ақауын пакер түсіру арқылы бекіту. 2. ГЗЖ-ОПП. </t>
  </si>
  <si>
    <t xml:space="preserve">1. Күрделенген апатты ротор орнату арқылы жою. 2. ГЗЖ. 3. ГЗЖ-ОПП. </t>
  </si>
  <si>
    <t>1. Күрделенген апатты ротор орнату арқылы жою.</t>
  </si>
  <si>
    <t>1. П/тізбегінің ақауын шегендеу арқылы бекіту. 2. ГЗЖ. 3. ПК</t>
  </si>
  <si>
    <t>1. Күрделенген оқшаулау жұмысы (Ø-114мм.құбыр түсіру арқылы). 2. ГЗЖ. 3. Скин-ГРП.</t>
  </si>
  <si>
    <t>1. ГЗЖ-ОПП. 2. Күрделенген оқшаулау жұмысы (Ø-114мм.құбыр түсіру арқылы). 3. ГЗЖ. 4. ПК.</t>
  </si>
  <si>
    <t>1. Ротор орнатпай апатты жою. 2. Күрделенген оқшаулау жұмысы (Ø-114мм.құбыр түсіру арқылы). 3. ГЗЖ. 4. ПК.</t>
  </si>
  <si>
    <t xml:space="preserve">1. П/қ ақауын қосымша 4*құбыр түсіру арқылы бекіту. 2. ГЗЖ. </t>
  </si>
  <si>
    <t xml:space="preserve">1. Ротор орнатпай апатты жою. 2. ГЗЖ-ОПП.  </t>
  </si>
  <si>
    <t>1. Скважина түбін тазлау. 2. ГЗЖ-ОПП</t>
  </si>
  <si>
    <t>1. Үлкен ротор орнату арқылы жою.</t>
  </si>
  <si>
    <t xml:space="preserve">ҚҚСЦ-1      </t>
  </si>
  <si>
    <t xml:space="preserve">ШСС-3а </t>
  </si>
  <si>
    <t xml:space="preserve">ҚҚСЦ-2      </t>
  </si>
  <si>
    <t xml:space="preserve">ШСС-6а </t>
  </si>
  <si>
    <t>1. П/қ ақауын пакер түсіру арқылы бекіту.</t>
  </si>
  <si>
    <t>1. ГЗЖ-ОПП 2. П/қ ақауын қосымша 4*құбыр түсіру арқылы бекіту. 3. ГЗЖ. 4. ПК.</t>
  </si>
  <si>
    <t>1. Скважина түбін тазлау. 2. ГЗЖ-ОПП.</t>
  </si>
  <si>
    <t>1. Ротор орнатпай апатты жою. 2. Күрделенген оқшаулау жұмысы (Ø-114мм.құбыр түсіру арқылы). 3. Скин-ГРП</t>
  </si>
  <si>
    <t xml:space="preserve">1. П/қ ақауын пакер түсіру арқылы бекіту. </t>
  </si>
  <si>
    <t xml:space="preserve">1. Скважина түбін тазлау. </t>
  </si>
  <si>
    <t xml:space="preserve">1. Ротор орнатпай апатты жою. 2. ГЗЖ. 3. ГЗЖ-ОПП. 4. Тізбек басын кесіп ауыстыру. </t>
  </si>
  <si>
    <t xml:space="preserve">1. ГЗЖ-ОПП. 2. Химиялық реагенттерді қолдану арқылы күрделі сипаттағы шегендеумен оқшаулау. 3. ГЗЖ. 4. ПК. 5. Тізбек басын кесіп ауыстыру. </t>
  </si>
  <si>
    <t xml:space="preserve">1. Химиялық реагенттерді қолдану арқылы күрделі сипаттағы шегендеумен оқшаулау.  2. Скин-ГРП. 3. Тізбек басын кесіп ауыстыру. </t>
  </si>
  <si>
    <t xml:space="preserve">1. ГЗЖ-ОПП. 2. Күрделенген оқшаулау жұмысы (Ø-114мм.құбыр түсіру арқылы). 3. ГЗЖ. 4. ПК. 5. Тізбек басын кесіп ауыстыру. </t>
  </si>
  <si>
    <t>1. П/қ ақауын пакер түсіру арқылы бекіту. 2. ПК.</t>
  </si>
  <si>
    <t xml:space="preserve"> 1. П/Қ ақауын пакер түсіру арықылы бекіту. 2.ГЗЖ. 3. ПК. 4. МГРП.</t>
  </si>
  <si>
    <t>1. Ротор орнатпай апатты жою. 2. Суланған қабатты оқшаулау. 3. ПК.</t>
  </si>
  <si>
    <t xml:space="preserve">1. Скважина түбін тазлау. 2. Басқа қабатқа ауыстыру. 3. ГЗЖ. 4. Тізбек басын кесіп ауыстыру. </t>
  </si>
  <si>
    <t>1. Басқа қабатқа ауыстыру. 2. Скин-ГРП.</t>
  </si>
  <si>
    <t>1. Скважина түбін тазлау. 2. ГЗЖ. 3. Суланған қабатты оқшаулау. 4. ПК</t>
  </si>
  <si>
    <t xml:space="preserve">1. ГЗЖ. 2. ГЗЖ. 3. П/қ ақауын қосымша 4*құбыр түсіру арқылы бекіту. 4. ПК. </t>
  </si>
  <si>
    <t>1. ГЗЖ. 2. ГЗЖ-ОПП. 3. Суланған қабатты оқшаулау. 4. ПК. 5. Тізбек басын кесіп ауыстыру.</t>
  </si>
  <si>
    <t>1. Скважина түбін тазлау. 2. Скин-ГРП.</t>
  </si>
  <si>
    <t xml:space="preserve"> 1. Суланған қабатты оқшаулау. 2. ПК.</t>
  </si>
  <si>
    <t xml:space="preserve">1. Скважина түбін тазлау. 2. Басқа қабатқа ауыстыру. 3. ГЗЖ. </t>
  </si>
  <si>
    <t>1. ГЗЖ-ОПП. 2. ГЗЖ. 3. ПК.</t>
  </si>
  <si>
    <t>1. Ротор орнату арқылы апатты жою. 2. ГЗЖ. 3. ГЗЖ-ОПП. 4. ГЗЖ. 5. ПК. 6. П/қ ақауын пакер түсіру арқылы бекіту. 7. Тізбек басын кесіп ауыстыру.</t>
  </si>
  <si>
    <t>1. ГЗЖ. 2. П/тізбегінің ақауын шегендеу арқылы бекіту. 3. ГЗЖ. 4. ПК</t>
  </si>
  <si>
    <t>1. Скважина түбін тазлау. 2.Суланған қабатты оқшаулау. 3. ПК.</t>
  </si>
  <si>
    <t>1. Үлкен ротор орнату арқылы жою. 2. ГЗЖ. 3. П/Қ ақауын шегендеу арқылы бекіту. 4. ГЗЖ. 5. ПК</t>
  </si>
  <si>
    <t xml:space="preserve">1. Үлкен ротор орнату арқылы жою. 2. ГЗЖ. </t>
  </si>
  <si>
    <t>Батыс Теңге</t>
  </si>
  <si>
    <t xml:space="preserve">1. Суланған қабатты оқшаулау. 2. ГЗЖ-ОПП. 3. ГЗЖ. 4. ПК. </t>
  </si>
  <si>
    <t>1. Скважина түбін тазалау. 2. ГЗЖ. 3. Күрделенген оқшаулау жұмысы (Ø-114мм.құбыр түсіру арқылы). 4. ПК.</t>
  </si>
  <si>
    <t xml:space="preserve">1. Үлкен ротор орнату арқылы апатты жою. 2. ГЗЖ. 3. ГЗЖ-ОПП. </t>
  </si>
  <si>
    <t xml:space="preserve">1.Үлкен ротор орнату арқылы апатты жою. 2. Суланған қабатты оқшаулау. 3. ГЗЖ. 4. ПК. </t>
  </si>
  <si>
    <t>1. Скважина түбін тазлау. 2. Күрделенген оқшаулау жұмысы (Ø-114мм.құбыр түсіру арқылы). 3. Скин-ГРП.</t>
  </si>
  <si>
    <t xml:space="preserve">1. Суланған қабатты оқшаулау. 2. ПК. </t>
  </si>
  <si>
    <t xml:space="preserve">1. Суланған қабатты оқшаулау. 2. Скин-ГРП </t>
  </si>
  <si>
    <t>1. Ротор орнатпай апатты жою. 2. ГЗЖ. 3 ГЗЖ-ОПП</t>
  </si>
  <si>
    <t>1. ГЗЖ-ОПП. 2. Суланған қабатты оқшаулау. 3. ПК.</t>
  </si>
  <si>
    <t>1. ГЗЖ. 2. Суланған қабатты оқшаулау. 3. ПК. 4. Тізбек басын кесіп ауыстыру.</t>
  </si>
  <si>
    <t xml:space="preserve">1. Суланған қабатты оқшаулау. 2. ПК. 3. П/тізбегінің ақауын шегендеу арқылы бекіту. </t>
  </si>
  <si>
    <t>1. Үлкен ротор орнату арқылы апатты жою. 2. ГЗЖ. 3. ГЗЖ-ОПП. 4. Суланған қабатты оқшаулау. 5. ПК.</t>
  </si>
  <si>
    <t>1. Ротор орнатпай апатты жою. 2. ГЗЖ-ОПП. 3. Тізбек басын кесіп ауыстыру.</t>
  </si>
  <si>
    <t xml:space="preserve">1.Үлкен ротор орнату арқылы апатты жою. 2. ГЗЖ. 3. П/тізбегінің ақауын шегендеу арқылы бекіту. 4. Суланған қабатты оқшаулау. 4. ПК. </t>
  </si>
  <si>
    <t xml:space="preserve">1. Суланған қабатты оқшаулау. </t>
  </si>
  <si>
    <t xml:space="preserve">1. Скважина түбін тазалау. 2. Суланған қабатты оқшаулау. 3. ПК. </t>
  </si>
  <si>
    <t xml:space="preserve">1. Скважина түбін тазалау. 2. ГЗЖ. 3. ГЗЖ-ОПП. 4. Суланған қабатты оқшаулау. 5. ПК. </t>
  </si>
  <si>
    <t>1. Ротор орнатпай апатты жою. 2. МГРП</t>
  </si>
  <si>
    <t xml:space="preserve">1. Ротор орнатпай апатты жою. 2. ГЗЖ-ОПП. 3. Суланған қабатты оқшаулау. 4. ГЗЖ. 5. ПК. </t>
  </si>
  <si>
    <t>1. Скважина түбін тазалау. 2.  Басқа қабатқа ауыстыру. 3. ГЗЖ.</t>
  </si>
  <si>
    <t xml:space="preserve">1. ГЗЖ. 2. ПК. </t>
  </si>
  <si>
    <t xml:space="preserve">1. Скважина түбін тазалау. 2. П/қ ақауын қосымша 4*құбыр түсіру арқылы бекіту. 3. ПК. </t>
  </si>
  <si>
    <t>1.Химиялық реагенттерді қолдану арқылы күрделі сипаттағы шегендеумен оқшаулау. 2. Тізбек басын кесіп ауыстыру. 3. Скин-ГРП.</t>
  </si>
  <si>
    <t xml:space="preserve">1. Басқа қабатқа ауыстыру. 2. Скин-ГРП. </t>
  </si>
  <si>
    <t>1. Басқа қабатқа ауыстыру. 2. ГЗЖ. 3. Тізбек басын кесіп ауыстыру.</t>
  </si>
  <si>
    <t>1. Қоса пайдаланудағы қабаттың төменгі қабатын шегендеу арқылы оқшалау. 2. ПК. 3. ГЗЖ. 4. Тізбек басын кесіп ауыстыру.</t>
  </si>
  <si>
    <t xml:space="preserve">1. Скважина түбін тазлау. 2. Суланған қабатты оқшаулау. 3. ГЗЖ. 4. ПК. </t>
  </si>
  <si>
    <t>1. Скважина түбін тазлау. 2. Қоса пайдаланудағы қабаттың жоғарғы қабатын шегендеу арқылы оқшалау. 3. ГЗЖ. 4. ПК.</t>
  </si>
  <si>
    <t xml:space="preserve">1. Тереңдігі 2170-3500м. ұңғымаларда басқа қабаттарға (үстіңгі және астыңғы) оралу. 2. ГЗЖ. </t>
  </si>
  <si>
    <t>1. Скважина түбін тазалау. 2. Басқа қабатқа ауыстыру. 3. Скин-ГРП.</t>
  </si>
  <si>
    <t>1. Үлкен ротор орнату арқылы апатты жою. 2. Күрделенген оқшаулау жұмысы (Ø-114мм.құбыр түсіру арқылы). 3. ПК.</t>
  </si>
  <si>
    <t>1. Басқа қабатқа ауыстыру. 2.ПК.</t>
  </si>
  <si>
    <t>1. Тереңдігі 2170-3500м. ұңғымаларда басқа қабаттарға (үстіңгі және астыңғы) оралу. 2. П/Қ ақауын шегендеу арқылы бекіту. ГЗЖ. 3. ПК.</t>
  </si>
  <si>
    <t>1. ГЗЖ. 2. Күрделенген оқшаулау жұмысы (Ø-114мм.құбыр түсіру арқылы). 3. ПК.</t>
  </si>
  <si>
    <t xml:space="preserve">1. Ротор орнатпай апатты жою. 2. Басқа қабатқа ауыстыру. 3. ГЗЖ. 4. ПК. </t>
  </si>
  <si>
    <t xml:space="preserve">1. Скважина түбін тазлау. 2. ГЗЖ. 3. ГЗЖ-ОПП. </t>
  </si>
  <si>
    <t>1. Скважина түбін тазалау. 2. ГЗЖ. 3. ГЗЖ-ОПП. 4. Суланған қабатты оқшаулау. 5. ПК. 6. П/Қ ақауын пакер түсіру арқылы бекіту.</t>
  </si>
  <si>
    <t>1. ГЗЖ. 2. Суланған қабатты оқшаулау. 3. Скин-ГРП.</t>
  </si>
  <si>
    <t>1. Ротор орнатпай апатты жою. 2. ГЗЖ-ОПП. 3. ПК.</t>
  </si>
  <si>
    <t>1. Ротор орнатпай апатты жою. 2. ГЗЖ. 3. ГЗЖ-ОПП. 4. Суланған қабатты оқшаулау. 5. ПК.</t>
  </si>
  <si>
    <t>1. Құбыраралық кеңістіктің ағысын тоқтату. 2. ГЗЖ-ОПП.</t>
  </si>
  <si>
    <t>1. Тереңдігі 2170-3500м. ұңғымаларда басқа қабаттарға (үстіңгі және астыңғы) оралу. 2. ГЗЖ. 3. ПК.</t>
  </si>
  <si>
    <t>1. ГЗЖ. 2. П/Қ ақауын шегендеу арқылы бекіту. 3. ГЗЖ. 4. ПК.</t>
  </si>
  <si>
    <t xml:space="preserve"> 1. Басқа қабатқа ауыстыру. 2. ГЗЖ.</t>
  </si>
  <si>
    <t xml:space="preserve">ШСС-3а      </t>
  </si>
  <si>
    <t xml:space="preserve">ШСС-4      </t>
  </si>
  <si>
    <t xml:space="preserve">ШСС-4     </t>
  </si>
  <si>
    <t xml:space="preserve">ШСС-4г     </t>
  </si>
  <si>
    <t xml:space="preserve">1. Үлкен ротор орнату арқылы апатты жою. 2. Суланған қабатты оқшаулау. 3. ГЗЖ. 4. ПК. </t>
  </si>
  <si>
    <t xml:space="preserve">1. Скин-ГРП. </t>
  </si>
  <si>
    <t>1. Қоса пайдаланудағы қабаттың жоғарғы қабатын шегендеу арқылы оқшалау. 2. ГЗЖ. 3. ПК.</t>
  </si>
  <si>
    <t>1. Скважина түбін тазалау. 2. Күрделенген оқшаулау жұмысы (Ø-114мм.құбыр түсіру арқылы). 3. ГЗЖ. 4. ПК.</t>
  </si>
  <si>
    <t>1. Басқа қабатқа ауыстыру. 2. ПК.</t>
  </si>
  <si>
    <t xml:space="preserve">ҚҚСЦ-4      </t>
  </si>
  <si>
    <t xml:space="preserve">ШСС-8/9     </t>
  </si>
  <si>
    <t xml:space="preserve">ШСС-4а    </t>
  </si>
  <si>
    <t>1. Күрделенген апатты үлкен ротор орнату арқылы жою. 2. ГЗЖ. 3. Тізбек басын кесіп ауыстыру.</t>
  </si>
  <si>
    <t xml:space="preserve">1. Скважина түбін тазалау. 2. ГЗЖ-ОПП. 3. Суланған қабатты оқшаулау. 4. ПК. </t>
  </si>
  <si>
    <t>1. Ротор орнатпай апатты жою. 2. П/қ ақауын қосымша 4*құбыр түсіру арқылы бекіту. 3. ПК.</t>
  </si>
  <si>
    <t>1. Ротор орнатпай апатты жою. 2. Күрделенген оқшаулау жұмысы (Ø-114мм.құбыр түсіру арқылы). 3. Скин-ГРП.</t>
  </si>
  <si>
    <t>1. Ротор орнатпай апатты жою. 2. Тізбек басын кесіп ауыстыру.</t>
  </si>
  <si>
    <t>1. ГЗЖ. 2. П/қ ақауын қосымша 4*құбыр түсіру арқылы бекіту. 3. ПК.</t>
  </si>
  <si>
    <t xml:space="preserve">1. Ротор орнатпай апатты жою. 2. ГЗЖ. 3. ГЗЖ-ОПП. 4. П/Қ ақауын шегендеу арқылы бекіту. </t>
  </si>
  <si>
    <t>1. Ротор орнатпай апатты жою.  2. Басқа қабатқа ауыстыру. 3. Скин-ГРП.</t>
  </si>
  <si>
    <t>1. Ротор орнатпай апатты жою. 2. ГЗЖ. 3. ГЗЖ-ОПП. 4. Суланған қабатты оқшаулау.  4. ПК.</t>
  </si>
  <si>
    <t>1. ГЗЖ-ОПП. 2. П/қ ақауын қосымша 4*құбыр түсіру арқылы бекіту. 3. ПК.</t>
  </si>
  <si>
    <t>1. Ротор орнатпай апатты жою. 2. Суланған қабатты оқшаулау. 3. ГЗЖ. 4. ПК</t>
  </si>
  <si>
    <t>1. П/қ ақауын қосымша 4*құбыр түсіру арқылы бекіту  2. ПК</t>
  </si>
  <si>
    <t>1. Басқа қабатқа ауыстыру.</t>
  </si>
  <si>
    <t xml:space="preserve">1. Күрделенген апатты үлкен ротор орнату арқылы жою. </t>
  </si>
  <si>
    <t xml:space="preserve">1. Скважина түбін тазалау. 2. Суланған қабатты оқшаулау . 3. ГЗЖ. 4. ПК. </t>
  </si>
  <si>
    <t>1. Күрделенген оқшаулау жұмысы (Химиялық қоспа айдау арқылы). 2. ГЗЖ. 3. ПК.</t>
  </si>
  <si>
    <t>1. ГЗЖ. 2. П/Қ (пайдалану құбырының) ақауын пакер түсіру арқылы бекіту. 3. ГЗЖ.</t>
  </si>
  <si>
    <t>1. ГЗЖ-ОПП. 2. Құбыраралық кеңістіктің ағысын тоқтату. 3. П/Қ (пайдалану құбырының) ақауын пакер түсіру арқылы бекіту.4. ГЗЖ.</t>
  </si>
  <si>
    <t xml:space="preserve">1. Каротаж кабелімен, АЗ-8 сымымен болған апатты жою. 2. ГЗЖ. 3. П/Қ ақауын пакер түсіру арқылы бекіту. </t>
  </si>
  <si>
    <t>1. Скважина түбін тазалау. 2. П/қ ақауын қосымша 4*құбыр түсіру арқылы бекіту. 3. Скин-ГРП.</t>
  </si>
  <si>
    <t>1. Скважина түбін тазалау. 2. П/Қ ақауын пакер түсіру арқылы бекіту. 3. ГЗЖ-ОПП.</t>
  </si>
  <si>
    <t xml:space="preserve">1. Суланған қабатты оқшаулау. 2. ГЗЖ. 3. ПК. 4. Тізбек басын кесіп ауыстыру. </t>
  </si>
  <si>
    <t>Қарамандыбас</t>
  </si>
  <si>
    <t xml:space="preserve">1. П/Қ ақауын шегендеу арқылы бекіту. 2. ГЗЖ. 3. ПК. 4. Тізбек басын кесіп ауыстыру. </t>
  </si>
  <si>
    <t>Оң.Жетыбай</t>
  </si>
  <si>
    <t>1. П/Қ ақауын пакер түсіру арқылы бекіту. 2. ПК. 3. ГЗЖ-ОПП.</t>
  </si>
  <si>
    <t xml:space="preserve">1. Ұңғының бойын тазалау. 2. Суланған қабатты оқшаулау. 3. ГЗЖ. 4. ПК. </t>
  </si>
  <si>
    <t xml:space="preserve">1. Ротор орнатпай апатты жою. 2. ГЗЖ. 3. П/қ ақауын қосымша 4*құбыр түсіру арқылы бекіту. </t>
  </si>
  <si>
    <t>1. Ротор орнатпай апатты жою. 2. ГЗЖ. 3. ГЗЖ-ОПП.</t>
  </si>
  <si>
    <t>1. Скважина түбін тазалау. 2. ГЗЖ. 3. Құбыраралық кеңістіктің ағысын тоқтату.</t>
  </si>
  <si>
    <t xml:space="preserve">1. Суланған қабатты оқшаулау. 2. ГЗЖ. 3. Тізбек басын кесіп ауыстыру. </t>
  </si>
  <si>
    <t xml:space="preserve">1. Скважина түбін тазалау. 2. ГЗЖ. 3. Тізбек басын кесіп ауыстыру. </t>
  </si>
  <si>
    <t xml:space="preserve">1. Ротор орнатпай апатты жою. 2. П/Қ ақауын пакер түсіру арқылы бекіту. </t>
  </si>
  <si>
    <t>1. Скважина түбін тазалау. 2. ГЗЖ. 3. ЭКВ. 4. П/Қ ақауын пакер түсіру арқылы бекіту. 5. ГЗЖ.</t>
  </si>
  <si>
    <t xml:space="preserve">1. Скважина түбін тазалау. 2. Суланған қабатты оқшаулау. 3. ГЗЖ. 4. ПК. </t>
  </si>
  <si>
    <t xml:space="preserve">1. Ротор орнатпай апатты жою. 2.  ГЗЖ. 3. ГЗЖ-ОПП. </t>
  </si>
  <si>
    <t>1. Суланған қабатты оқшаулау. 2. ПК. 3. ГЗЖ.</t>
  </si>
  <si>
    <t>1. ГЗЖ. 2. Құбыраралық кеңістіктің су ағысын тоқтату. 3. П/қ ақауын қосымша 4*құбыр түсіру арқылы бекіту. 4. ПК.</t>
  </si>
  <si>
    <t xml:space="preserve">1.Үлкен ротор орнату арқылы апатты жою. 2. ГЗЖ. </t>
  </si>
  <si>
    <t>1. Үлкен ротор орнату арқылы апатты жою. 2. ГЗЖ. 3. ГЗЖ-ОПП. 4. ПК.</t>
  </si>
  <si>
    <t xml:space="preserve">1. Ротор орнатпай апатты жою. 2. Басқа қабатқа ауыстыру. 3. ГЗЖ. </t>
  </si>
  <si>
    <t>1. Үлкен ротор орнату арқылы апатты жою. 2. П/қ ақауын қосымша 4*құбыр түсіру арқылы бекіту. 3. ПК.</t>
  </si>
  <si>
    <t>1. Ротор орнатпай апатты жою. 2. ГЗЖ. 3. Суланған қабатты оқшаулау. 4. МГРП.</t>
  </si>
  <si>
    <t>1. Скважина түбін тазалау. 2. П/қ ақауын қосымша 4*құбыр түсіру арқылы бекіту.</t>
  </si>
  <si>
    <t>1. Ротор орнатпай апатты жою. 2. Тізбек басын кесіп ауыстыру. 3. ГЗЖ. 4. Скин-ГРП.</t>
  </si>
  <si>
    <t>газ   Тасболат</t>
  </si>
  <si>
    <t>1. Ұңғыманы қайта ашу. (Расконсервация скважины). 2. Ұңғыманың пайдалану құбырының бойын тазарту. 3. ПК.</t>
  </si>
  <si>
    <t>1. П/қ ақауын қосымша 4*құбыр түсіру арқылы бекіту. 2. ПК. 3. Тізбек басын кесіп ауыстыру.</t>
  </si>
  <si>
    <t>1. Үлкен ротор орнату арқылы апатты жою. 2. ГЗЖ.  3. П/Қ ақауын шегендеу арқылы бекіту. 4. ГЗЖ. 5. Тізбек басын кесіп ауыстыру.</t>
  </si>
  <si>
    <t xml:space="preserve"> 1. ГЗЖ. 2. ПК. </t>
  </si>
  <si>
    <t>1. Ротор орнатпай апатты жою. 2. ГЗЖ-ОПП. 3. ГЗЖ. 4. Суланған қабатты оқшаулау. 5. ПК.</t>
  </si>
  <si>
    <t>1. Скважина түбін тазалау. 2. Басқа қабатқа ауыстыру. 3. ГЗЖ</t>
  </si>
  <si>
    <t>1. Скважинаның пайдалану құбырының бойын тазарту. 3. ПК.</t>
  </si>
  <si>
    <t>1. Скважина түбін тазалау. 2. Суланған қабатты оқшаулау. 3. ГЗЖ. 4. ПК</t>
  </si>
  <si>
    <t xml:space="preserve">1. Үлкен ротор орнату арқылы апатты жою. 2. ГЗЖ-ОГК.  3. ГЗЖ-ОПП </t>
  </si>
  <si>
    <t>1. Ротор орнатпай апатты жою. 2. П/Қ ақауын пакер түсіру арқылы бекіту. 3. ГЗЖ-ОПП.</t>
  </si>
  <si>
    <t>1. Күрделенген оқшаулау жұмысы (Ø-114мм.құбыр түсіру арқылы). 2. ГЗЖ. 3. ГЗЖ. 4. ПК.</t>
  </si>
  <si>
    <t>1. Ротор орнатпай апатты жою. 2. Суланған қабатты оқшаулау. 3. ПК. 4.ГЗЖ.</t>
  </si>
  <si>
    <t>1. П/Қ ақауын пакер түсіру арқылы бекіту. 2. ГЗЖ-ОПП.</t>
  </si>
  <si>
    <t>1. Үлкен ротор орнату арқылы апатты жою. 2. Күрделенген оқшаулау жұмысы (Ø-114мм.құбыр түсіру арқылы). 3. ГЗЖ. 4. ПК. 5. П/Қ ақауын пакер түсіру арқылы бекіту. 6. ГЗЖ.</t>
  </si>
  <si>
    <t>1. Ротор орнатпай апатты жою. 2. Скважина бойын тазалау. 3. ГЗЖ.</t>
  </si>
  <si>
    <t xml:space="preserve">1. Скважина түбін тазалау. 2. МГРП. </t>
  </si>
  <si>
    <t>1. Басқа қабатқа ауыстыру цементтік көпір орнату арқылы. 2. ГЗЖ. 3. Тізбек басын кесіп ауыстыру.</t>
  </si>
  <si>
    <t>1. Басқа қабатқа ауыстыру. 2.Скин-ГРП 3. Тізбек басын кесіп ауыстыру.</t>
  </si>
  <si>
    <t>1. ГЗЖ-ОПП. 2. П/Қ ақауын пакер түсіру арқылы бекіту</t>
  </si>
  <si>
    <t>1. Ротор орнатпай апатты жою. 2. ГЗЖ-ОПП</t>
  </si>
  <si>
    <t>1. Ротор орнатпай апатты жою. 2. ГЗЖ. 3.П/Қ ақауын пакер түсіру арқылы бекіту.</t>
  </si>
  <si>
    <t xml:space="preserve">1. Скважина түбін тазалау. 2. ГЗЖ.  3. ГЗЖ-ОПП. </t>
  </si>
  <si>
    <t xml:space="preserve">1. Үлкен ротор орнату арқылы апатты жою. 2. ГЗЖ-ОПП. 3. Күрделенген оқшаулау жұмысы (Ø-114мм.құбыр түсіру арқылы). 4. ГЗЖ. 5. ПК. </t>
  </si>
  <si>
    <t>1. Скважина түбін тазалау. 2. ГЗЖ-ОГК. 3. ГЗЖ-ОПП. 4. Суланған қабатты оқшаулау. 5. ПК</t>
  </si>
  <si>
    <t>1. Суланған қабатты оқшаулау. 2. ГЗЖ-ОГК. 3. Тізбек басын кесіп ауыстыру. 4. ПК</t>
  </si>
  <si>
    <t xml:space="preserve">1. Басқа қабатқа ауыстыру. 2. ГЗЖ. 3. П/Қ ақауын шегендеу арқылы бекіту. </t>
  </si>
  <si>
    <t xml:space="preserve">1. Скважина түбін тазалау. 2. П/қ ақауын қосымша 4*құбыр түсіру арқылы бекіту. </t>
  </si>
  <si>
    <t xml:space="preserve">1. Скважина түбін тазалау. 2. ГЗЖ-ОГК. 3. Басқа қабатқа ауыстыру. </t>
  </si>
  <si>
    <t xml:space="preserve">1. Үлкен ротор орнату арқылы апатты жою. 2. ГЗЖ. 3. П/Қ ақауын шегендеу арқылы бекіту. 4. ГЗЖ. 5. ПК. </t>
  </si>
  <si>
    <t xml:space="preserve">1. Ротор орнатпай апатты жою.  2. ГЗЖ. 3. Тізбек басын кесіп ауыстыру. 4. ПК. </t>
  </si>
  <si>
    <t>1. Басқа қабатқа ауыстыру. 2. ГЗЖ. 3. П/Қ ақауын шегендеу арқылы бекіту. 4. Тізбек басын кесіп ауыстыру.</t>
  </si>
  <si>
    <t xml:space="preserve">1.Үлкен ротор орнату арқылы апатты жою. 2.Күрделенген оқшаулау жұмысы (Ø-114мм.құбыр түсіру арқылы). 4.ГЗЖ.5. ПК. </t>
  </si>
  <si>
    <t>1. Скважина түбін тазалау. 2. Тізбек басын кесіп ауыстыру  3. ПК</t>
  </si>
  <si>
    <t>1. Скважина түбін тазалау. 2. ПК</t>
  </si>
  <si>
    <t>1. Скважина түбін тазалау. 2. ГЗЖ-ОПП. 3. Суланған қабатты оқшаулау. 4. ПК.</t>
  </si>
  <si>
    <t xml:space="preserve">1. Скважина түбін тазарту. 2. ГЗЖ. 3. ГЗЖ-ОПП. </t>
  </si>
  <si>
    <t>1. Скважина бойын тазалау. 2. Суланған қабатты оқшаулау. 3. ГЗЖ. 4. ПК.</t>
  </si>
  <si>
    <t>1. Ротор орнатпай апатты жою. 2. Басқа қабатқа ауыстыру. 3. ГЗЖ. 4. ПК. 5. Скин-ГРП.</t>
  </si>
  <si>
    <t>1. Суланған қабатты оқшаулау. 2. ГЗЖ. 3. П/Қ ақауын шегендеу арқылы бекіту. 4. ГЗЖ. 5. Скин-ГРП.</t>
  </si>
  <si>
    <t xml:space="preserve">1. Скважина түбін тазалау. 2. Суланған қабатты оқшаулау. 3. ГЗЖ. </t>
  </si>
  <si>
    <t>1. Скважина түбін тазалау. 2. ГЗЖ. 3. П/Қ ақауын пакер түсіру арқылы бекіту. 4. ГЗЖ-ОПП</t>
  </si>
  <si>
    <t>1. ГЗЖ. 2. ГЗЖ-ОПП. 3. Скважина түбін тазалау. 4. П/қ ақауын қосымша 4*құбыр түсіру арқылы бекіту. 5. Скин-ГРП.</t>
  </si>
  <si>
    <t>1. Ротор орнатпай апатты жою. 2. Тізбек басын кесіп ауыстыру. 3. ПК</t>
  </si>
  <si>
    <t>1. Скважина түбін тазалау. 2. ГЗЖ. 3. ПК. 4. Тізбек басын кесіп ауыстыру.</t>
  </si>
  <si>
    <t xml:space="preserve">1. ЭКВ. </t>
  </si>
  <si>
    <t>1. Ротор орнатпай апатты жою. 2. ГЗЖ. 3. Тізбек басын кесіп ауыстыру.</t>
  </si>
  <si>
    <t>1. ГЗЖ. 2. ПК. 3. П/Қ ақауын пакер түсіру арқылы бекіту.</t>
  </si>
  <si>
    <t xml:space="preserve">1. Скважина түбін тазалау. 2. ГЗЖ. 3. П/қ ақауын қосымша 4*құбыр түсіру арқылы бекіту. 4. ГЗЖ. 5. ПК. </t>
  </si>
  <si>
    <t>1. Скважина түбін тазалау. 2. ГЗЖ. 3. ГЗЖ-ОПП. 4. П/Қ ақауын шегендеу арқылы бекіту. 5. ПК.</t>
  </si>
  <si>
    <t xml:space="preserve">1. Басқа қабатқа ауыстыру. </t>
  </si>
  <si>
    <t xml:space="preserve">1. Үлкен ротор орнату арқылы апатты жою. 2. ГЗЖ-ОПП. </t>
  </si>
  <si>
    <t xml:space="preserve">1. Үлкен ротор орнату арқылы апатты жою. 2. Басқа қабатқа ауыстыру. 3. ГЗЖ. </t>
  </si>
  <si>
    <t>1. Үлкен ротор орнату арқылы апатты жою. 2. Күрделенген оқшаулау жұмысы (Ø-114мм.құбыр түсіру арқылы). 3. СКИН-ГРП</t>
  </si>
  <si>
    <t xml:space="preserve">1. П/Қ ақауын шегендеу арқылы бекіту. 2. ГЗЖ. 3. Суланған қабатты оқшаулау. 4. ГЗЖ. </t>
  </si>
  <si>
    <t>1. Басқа қабатқа ауыстыру. 2. ГЗЖ. 3. Скин-ГРП.</t>
  </si>
  <si>
    <t xml:space="preserve">1. Ротор орнатпай апатты жою. 2. Суланған қабатты оқшаулау. 3. ГЗЖ. </t>
  </si>
  <si>
    <t>1. Суланған қабатты оқшаулау. 2.  Скин-ГРП.</t>
  </si>
  <si>
    <t>1. Ротор орнатпай апатты жою. 2.  П/қ ақауын қосымша 4*құбыр түсіру арқылы бекіту. 3. ПК.</t>
  </si>
  <si>
    <t>1. Скважина түбін тазалау. 2. ПК. 3. П/Қ ақауын пакер түсіру  арқылы бекіту. 4. Қабылдау қаблеттілігін анықтау. (ГЗЖ-ОПП).</t>
  </si>
  <si>
    <t>1. ГЗЖ 2. П/қ ақауын қосымша 4*құбыр түсіру арқылы бекіту. 3. ПК.</t>
  </si>
  <si>
    <t>1. Суланған қабатты оқшаулау жұмыстары. 2. ГЗЖ. 3. ПК.</t>
  </si>
  <si>
    <t>1. Ротор орнату арқылы апатты жою. 2. ГЗЖ. 3. Күрделенген оқшаулау жұмыстары (4* құбыр түсіру арқылы). 4. ПК.</t>
  </si>
  <si>
    <t>1. Басқа қабатқа ауыстыру.  2. ГЗЖ.</t>
  </si>
  <si>
    <t>1. Скважина түбін тазалау. 2. Күрделенген оқшаулау жұмыстары (4* құбыр түсіру арқылы). 3.Тізбек басын кесіп ауыстыру. 4. ГЗЖ . 5.ПК.</t>
  </si>
  <si>
    <t>1. Ротор орнатпай апатты жою. 2. П/Қ ақауын шегендеу арқылы бекіту. 3. ГЗЖ</t>
  </si>
  <si>
    <t>НГДУ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</si>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</sst>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\ _р_._-;\-* #,##0\ _р_._-;_-* &quot;-&quot;\ _р_._-;_-@_-"/>
    <numFmt numFmtId="166" formatCode="_-* #,##0.00\ _р_._-;\-* #,##0.00\ _р_._-;_-* &quot;-&quot;??\ _р_._-;_-@_-"/>
    <numFmt numFmtId="167" formatCode="dd/mm/yy;@"/>
    <numFmt numFmtId="168" formatCode="#,##0.0"/>
    <numFmt numFmtId="169" formatCode="0.0"/>
  </numFmts>
  <fonts count="2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Helv"/>
    </font>
    <font>
      <sz val="12"/>
      <name val="Times New Roman"/>
      <family val="1"/>
      <charset val="204"/>
    </font>
    <font>
      <sz val="12"/>
      <name val="Times New Roman KK EK"/>
      <family val="1"/>
      <charset val="204"/>
    </font>
    <font>
      <b/>
      <sz val="12"/>
      <name val="Times New Roman"/>
      <family val="1"/>
      <charset val="204"/>
    </font>
    <font>
      <sz val="12"/>
      <name val="Times New Roman KK EK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 KK EK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Times New Roman"/>
      <family val="1"/>
      <charset val="204"/>
    </font>
    <font>
      <sz val="13"/>
      <name val="Times New Roman KK EK"/>
      <charset val="204"/>
    </font>
    <font>
      <sz val="13"/>
      <name val="Times New Roman"/>
      <family val="1"/>
      <charset val="204"/>
    </font>
    <font>
      <sz val="13"/>
      <name val="Times New Roman KK EK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7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6" fillId="0" borderId="0"/>
    <xf numFmtId="0" fontId="3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4" fontId="1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9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vertical="center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6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</cellXfs>
  <cellStyles count="19">
    <cellStyle name="_ЦДНГ-6  нач кон бур на 1.01.06.г" xfId="1" xr:uid="{00000000-0005-0000-0000-000000000000}"/>
    <cellStyle name="Normal_Shapka_ev" xfId="2" xr:uid="{00000000-0005-0000-0000-000001000000}"/>
    <cellStyle name="Обычный" xfId="0" builtinId="0"/>
    <cellStyle name="Обычный 2" xfId="3" xr:uid="{00000000-0005-0000-0000-000003000000}"/>
    <cellStyle name="Обычный 2 2" xfId="10" xr:uid="{00000000-0005-0000-0000-000004000000}"/>
    <cellStyle name="Обычный 2 2 2" xfId="14" xr:uid="{00000000-0005-0000-0000-000005000000}"/>
    <cellStyle name="Обычный 2 3" xfId="11" xr:uid="{00000000-0005-0000-0000-000006000000}"/>
    <cellStyle name="Обычный 2 3 2" xfId="15" xr:uid="{00000000-0005-0000-0000-000007000000}"/>
    <cellStyle name="Обычный 2 3 3" xfId="17" xr:uid="{00000000-0005-0000-0000-000008000000}"/>
    <cellStyle name="Обычный 3" xfId="4" xr:uid="{00000000-0005-0000-0000-000009000000}"/>
    <cellStyle name="Обычный 4" xfId="5" xr:uid="{00000000-0005-0000-0000-00000A000000}"/>
    <cellStyle name="Обычный 5" xfId="6" xr:uid="{00000000-0005-0000-0000-00000B000000}"/>
    <cellStyle name="Обычный 5 2" xfId="13" xr:uid="{00000000-0005-0000-0000-00000C000000}"/>
    <cellStyle name="Стиль 1" xfId="7" xr:uid="{00000000-0005-0000-0000-00000D000000}"/>
    <cellStyle name="Тысячи [0]_laroux" xfId="8" xr:uid="{00000000-0005-0000-0000-00000E000000}"/>
    <cellStyle name="Тысячи_laroux" xfId="9" xr:uid="{00000000-0005-0000-0000-00000F000000}"/>
    <cellStyle name="Финансовый 2" xfId="12" xr:uid="{00000000-0005-0000-0000-000010000000}"/>
    <cellStyle name="Финансовый 2 2" xfId="16" xr:uid="{00000000-0005-0000-0000-000011000000}"/>
    <cellStyle name="Финансовый 2 3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03"/>
  <sheetViews>
    <sheetView tabSelected="1" zoomScaleNormal="100" zoomScaleSheetLayoutView="100" workbookViewId="0">
      <selection activeCell="H4" sqref="H4"/>
    </sheetView>
  </sheetViews>
  <sheetFormatPr defaultRowHeight="15.75"/>
  <cols>
    <col min="1" max="1" width="5.5703125" style="1" customWidth="1"/>
    <col min="2" max="2" width="6.28515625" style="1" customWidth="1"/>
    <col min="3" max="3" width="8" style="1" customWidth="1"/>
    <col min="4" max="4" width="9.28515625" style="1" customWidth="1"/>
    <col min="5" max="5" width="9.28515625" style="2" customWidth="1"/>
    <col min="6" max="6" width="12.28515625" style="2" customWidth="1"/>
    <col min="7" max="7" width="13.140625" style="2" customWidth="1"/>
    <col min="8" max="8" width="12.42578125" style="1" customWidth="1"/>
    <col min="9" max="9" width="16" style="1" customWidth="1"/>
    <col min="10" max="10" width="16.28515625" style="1" customWidth="1"/>
    <col min="11" max="11" width="15.140625" style="1" customWidth="1"/>
    <col min="12" max="12" width="93" style="1" customWidth="1"/>
    <col min="13" max="13" width="21.7109375" style="1" bestFit="1" customWidth="1"/>
    <col min="14" max="15" width="9.140625" style="3"/>
    <col min="16" max="150" width="9.140625" style="1"/>
    <col min="151" max="151" width="3.7109375" style="1" customWidth="1"/>
    <col min="152" max="152" width="4.7109375" style="1" customWidth="1"/>
    <col min="153" max="153" width="6.42578125" style="1" customWidth="1"/>
    <col min="154" max="154" width="7.28515625" style="1" customWidth="1"/>
    <col min="155" max="155" width="9.7109375" style="1" customWidth="1"/>
    <col min="156" max="156" width="7.7109375" style="1" bestFit="1" customWidth="1"/>
    <col min="157" max="158" width="8.42578125" style="1" customWidth="1"/>
    <col min="159" max="159" width="8.5703125" style="1" customWidth="1"/>
    <col min="160" max="161" width="8.7109375" style="1" customWidth="1"/>
    <col min="162" max="162" width="58.5703125" style="1" customWidth="1"/>
    <col min="163" max="163" width="16.5703125" style="1" customWidth="1"/>
    <col min="164" max="164" width="5" style="1" customWidth="1"/>
    <col min="165" max="167" width="6" style="1" customWidth="1"/>
    <col min="168" max="168" width="12.42578125" style="1" bestFit="1" customWidth="1"/>
    <col min="169" max="169" width="9.140625" style="1"/>
    <col min="170" max="170" width="12.42578125" style="1" bestFit="1" customWidth="1"/>
    <col min="171" max="406" width="9.140625" style="1"/>
    <col min="407" max="407" width="3.7109375" style="1" customWidth="1"/>
    <col min="408" max="408" width="4.7109375" style="1" customWidth="1"/>
    <col min="409" max="409" width="6.42578125" style="1" customWidth="1"/>
    <col min="410" max="410" width="7.28515625" style="1" customWidth="1"/>
    <col min="411" max="411" width="9.7109375" style="1" customWidth="1"/>
    <col min="412" max="412" width="7.7109375" style="1" bestFit="1" customWidth="1"/>
    <col min="413" max="414" width="8.42578125" style="1" customWidth="1"/>
    <col min="415" max="415" width="8.5703125" style="1" customWidth="1"/>
    <col min="416" max="417" width="8.7109375" style="1" customWidth="1"/>
    <col min="418" max="418" width="58.5703125" style="1" customWidth="1"/>
    <col min="419" max="419" width="16.5703125" style="1" customWidth="1"/>
    <col min="420" max="420" width="5" style="1" customWidth="1"/>
    <col min="421" max="423" width="6" style="1" customWidth="1"/>
    <col min="424" max="424" width="12.42578125" style="1" bestFit="1" customWidth="1"/>
    <col min="425" max="425" width="9.140625" style="1"/>
    <col min="426" max="426" width="12.42578125" style="1" bestFit="1" customWidth="1"/>
    <col min="427" max="662" width="9.140625" style="1"/>
    <col min="663" max="663" width="3.7109375" style="1" customWidth="1"/>
    <col min="664" max="664" width="4.7109375" style="1" customWidth="1"/>
    <col min="665" max="665" width="6.42578125" style="1" customWidth="1"/>
    <col min="666" max="666" width="7.28515625" style="1" customWidth="1"/>
    <col min="667" max="667" width="9.7109375" style="1" customWidth="1"/>
    <col min="668" max="668" width="7.7109375" style="1" bestFit="1" customWidth="1"/>
    <col min="669" max="670" width="8.42578125" style="1" customWidth="1"/>
    <col min="671" max="671" width="8.5703125" style="1" customWidth="1"/>
    <col min="672" max="673" width="8.7109375" style="1" customWidth="1"/>
    <col min="674" max="674" width="58.5703125" style="1" customWidth="1"/>
    <col min="675" max="675" width="16.5703125" style="1" customWidth="1"/>
    <col min="676" max="676" width="5" style="1" customWidth="1"/>
    <col min="677" max="679" width="6" style="1" customWidth="1"/>
    <col min="680" max="680" width="12.42578125" style="1" bestFit="1" customWidth="1"/>
    <col min="681" max="681" width="9.140625" style="1"/>
    <col min="682" max="682" width="12.42578125" style="1" bestFit="1" customWidth="1"/>
    <col min="683" max="918" width="9.140625" style="1"/>
    <col min="919" max="919" width="3.7109375" style="1" customWidth="1"/>
    <col min="920" max="920" width="4.7109375" style="1" customWidth="1"/>
    <col min="921" max="921" width="6.42578125" style="1" customWidth="1"/>
    <col min="922" max="922" width="7.28515625" style="1" customWidth="1"/>
    <col min="923" max="923" width="9.7109375" style="1" customWidth="1"/>
    <col min="924" max="924" width="7.7109375" style="1" bestFit="1" customWidth="1"/>
    <col min="925" max="926" width="8.42578125" style="1" customWidth="1"/>
    <col min="927" max="927" width="8.5703125" style="1" customWidth="1"/>
    <col min="928" max="929" width="8.7109375" style="1" customWidth="1"/>
    <col min="930" max="930" width="58.5703125" style="1" customWidth="1"/>
    <col min="931" max="931" width="16.5703125" style="1" customWidth="1"/>
    <col min="932" max="932" width="5" style="1" customWidth="1"/>
    <col min="933" max="935" width="6" style="1" customWidth="1"/>
    <col min="936" max="936" width="12.42578125" style="1" bestFit="1" customWidth="1"/>
    <col min="937" max="937" width="9.140625" style="1"/>
    <col min="938" max="938" width="12.42578125" style="1" bestFit="1" customWidth="1"/>
    <col min="939" max="1174" width="9.140625" style="1"/>
    <col min="1175" max="1175" width="3.7109375" style="1" customWidth="1"/>
    <col min="1176" max="1176" width="4.7109375" style="1" customWidth="1"/>
    <col min="1177" max="1177" width="6.42578125" style="1" customWidth="1"/>
    <col min="1178" max="1178" width="7.28515625" style="1" customWidth="1"/>
    <col min="1179" max="1179" width="9.7109375" style="1" customWidth="1"/>
    <col min="1180" max="1180" width="7.7109375" style="1" bestFit="1" customWidth="1"/>
    <col min="1181" max="1182" width="8.42578125" style="1" customWidth="1"/>
    <col min="1183" max="1183" width="8.5703125" style="1" customWidth="1"/>
    <col min="1184" max="1185" width="8.7109375" style="1" customWidth="1"/>
    <col min="1186" max="1186" width="58.5703125" style="1" customWidth="1"/>
    <col min="1187" max="1187" width="16.5703125" style="1" customWidth="1"/>
    <col min="1188" max="1188" width="5" style="1" customWidth="1"/>
    <col min="1189" max="1191" width="6" style="1" customWidth="1"/>
    <col min="1192" max="1192" width="12.42578125" style="1" bestFit="1" customWidth="1"/>
    <col min="1193" max="1193" width="9.140625" style="1"/>
    <col min="1194" max="1194" width="12.42578125" style="1" bestFit="1" customWidth="1"/>
    <col min="1195" max="1430" width="9.140625" style="1"/>
    <col min="1431" max="1431" width="3.7109375" style="1" customWidth="1"/>
    <col min="1432" max="1432" width="4.7109375" style="1" customWidth="1"/>
    <col min="1433" max="1433" width="6.42578125" style="1" customWidth="1"/>
    <col min="1434" max="1434" width="7.28515625" style="1" customWidth="1"/>
    <col min="1435" max="1435" width="9.7109375" style="1" customWidth="1"/>
    <col min="1436" max="1436" width="7.7109375" style="1" bestFit="1" customWidth="1"/>
    <col min="1437" max="1438" width="8.42578125" style="1" customWidth="1"/>
    <col min="1439" max="1439" width="8.5703125" style="1" customWidth="1"/>
    <col min="1440" max="1441" width="8.7109375" style="1" customWidth="1"/>
    <col min="1442" max="1442" width="58.5703125" style="1" customWidth="1"/>
    <col min="1443" max="1443" width="16.5703125" style="1" customWidth="1"/>
    <col min="1444" max="1444" width="5" style="1" customWidth="1"/>
    <col min="1445" max="1447" width="6" style="1" customWidth="1"/>
    <col min="1448" max="1448" width="12.42578125" style="1" bestFit="1" customWidth="1"/>
    <col min="1449" max="1449" width="9.140625" style="1"/>
    <col min="1450" max="1450" width="12.42578125" style="1" bestFit="1" customWidth="1"/>
    <col min="1451" max="1686" width="9.140625" style="1"/>
    <col min="1687" max="1687" width="3.7109375" style="1" customWidth="1"/>
    <col min="1688" max="1688" width="4.7109375" style="1" customWidth="1"/>
    <col min="1689" max="1689" width="6.42578125" style="1" customWidth="1"/>
    <col min="1690" max="1690" width="7.28515625" style="1" customWidth="1"/>
    <col min="1691" max="1691" width="9.7109375" style="1" customWidth="1"/>
    <col min="1692" max="1692" width="7.7109375" style="1" bestFit="1" customWidth="1"/>
    <col min="1693" max="1694" width="8.42578125" style="1" customWidth="1"/>
    <col min="1695" max="1695" width="8.5703125" style="1" customWidth="1"/>
    <col min="1696" max="1697" width="8.7109375" style="1" customWidth="1"/>
    <col min="1698" max="1698" width="58.5703125" style="1" customWidth="1"/>
    <col min="1699" max="1699" width="16.5703125" style="1" customWidth="1"/>
    <col min="1700" max="1700" width="5" style="1" customWidth="1"/>
    <col min="1701" max="1703" width="6" style="1" customWidth="1"/>
    <col min="1704" max="1704" width="12.42578125" style="1" bestFit="1" customWidth="1"/>
    <col min="1705" max="1705" width="9.140625" style="1"/>
    <col min="1706" max="1706" width="12.42578125" style="1" bestFit="1" customWidth="1"/>
    <col min="1707" max="1942" width="9.140625" style="1"/>
    <col min="1943" max="1943" width="3.7109375" style="1" customWidth="1"/>
    <col min="1944" max="1944" width="4.7109375" style="1" customWidth="1"/>
    <col min="1945" max="1945" width="6.42578125" style="1" customWidth="1"/>
    <col min="1946" max="1946" width="7.28515625" style="1" customWidth="1"/>
    <col min="1947" max="1947" width="9.7109375" style="1" customWidth="1"/>
    <col min="1948" max="1948" width="7.7109375" style="1" bestFit="1" customWidth="1"/>
    <col min="1949" max="1950" width="8.42578125" style="1" customWidth="1"/>
    <col min="1951" max="1951" width="8.5703125" style="1" customWidth="1"/>
    <col min="1952" max="1953" width="8.7109375" style="1" customWidth="1"/>
    <col min="1954" max="1954" width="58.5703125" style="1" customWidth="1"/>
    <col min="1955" max="1955" width="16.5703125" style="1" customWidth="1"/>
    <col min="1956" max="1956" width="5" style="1" customWidth="1"/>
    <col min="1957" max="1959" width="6" style="1" customWidth="1"/>
    <col min="1960" max="1960" width="12.42578125" style="1" bestFit="1" customWidth="1"/>
    <col min="1961" max="1961" width="9.140625" style="1"/>
    <col min="1962" max="1962" width="12.42578125" style="1" bestFit="1" customWidth="1"/>
    <col min="1963" max="2198" width="9.140625" style="1"/>
    <col min="2199" max="2199" width="3.7109375" style="1" customWidth="1"/>
    <col min="2200" max="2200" width="4.7109375" style="1" customWidth="1"/>
    <col min="2201" max="2201" width="6.42578125" style="1" customWidth="1"/>
    <col min="2202" max="2202" width="7.28515625" style="1" customWidth="1"/>
    <col min="2203" max="2203" width="9.7109375" style="1" customWidth="1"/>
    <col min="2204" max="2204" width="7.7109375" style="1" bestFit="1" customWidth="1"/>
    <col min="2205" max="2206" width="8.42578125" style="1" customWidth="1"/>
    <col min="2207" max="2207" width="8.5703125" style="1" customWidth="1"/>
    <col min="2208" max="2209" width="8.7109375" style="1" customWidth="1"/>
    <col min="2210" max="2210" width="58.5703125" style="1" customWidth="1"/>
    <col min="2211" max="2211" width="16.5703125" style="1" customWidth="1"/>
    <col min="2212" max="2212" width="5" style="1" customWidth="1"/>
    <col min="2213" max="2215" width="6" style="1" customWidth="1"/>
    <col min="2216" max="2216" width="12.42578125" style="1" bestFit="1" customWidth="1"/>
    <col min="2217" max="2217" width="9.140625" style="1"/>
    <col min="2218" max="2218" width="12.42578125" style="1" bestFit="1" customWidth="1"/>
    <col min="2219" max="2454" width="9.140625" style="1"/>
    <col min="2455" max="2455" width="3.7109375" style="1" customWidth="1"/>
    <col min="2456" max="2456" width="4.7109375" style="1" customWidth="1"/>
    <col min="2457" max="2457" width="6.42578125" style="1" customWidth="1"/>
    <col min="2458" max="2458" width="7.28515625" style="1" customWidth="1"/>
    <col min="2459" max="2459" width="9.7109375" style="1" customWidth="1"/>
    <col min="2460" max="2460" width="7.7109375" style="1" bestFit="1" customWidth="1"/>
    <col min="2461" max="2462" width="8.42578125" style="1" customWidth="1"/>
    <col min="2463" max="2463" width="8.5703125" style="1" customWidth="1"/>
    <col min="2464" max="2465" width="8.7109375" style="1" customWidth="1"/>
    <col min="2466" max="2466" width="58.5703125" style="1" customWidth="1"/>
    <col min="2467" max="2467" width="16.5703125" style="1" customWidth="1"/>
    <col min="2468" max="2468" width="5" style="1" customWidth="1"/>
    <col min="2469" max="2471" width="6" style="1" customWidth="1"/>
    <col min="2472" max="2472" width="12.42578125" style="1" bestFit="1" customWidth="1"/>
    <col min="2473" max="2473" width="9.140625" style="1"/>
    <col min="2474" max="2474" width="12.42578125" style="1" bestFit="1" customWidth="1"/>
    <col min="2475" max="2710" width="9.140625" style="1"/>
    <col min="2711" max="2711" width="3.7109375" style="1" customWidth="1"/>
    <col min="2712" max="2712" width="4.7109375" style="1" customWidth="1"/>
    <col min="2713" max="2713" width="6.42578125" style="1" customWidth="1"/>
    <col min="2714" max="2714" width="7.28515625" style="1" customWidth="1"/>
    <col min="2715" max="2715" width="9.7109375" style="1" customWidth="1"/>
    <col min="2716" max="2716" width="7.7109375" style="1" bestFit="1" customWidth="1"/>
    <col min="2717" max="2718" width="8.42578125" style="1" customWidth="1"/>
    <col min="2719" max="2719" width="8.5703125" style="1" customWidth="1"/>
    <col min="2720" max="2721" width="8.7109375" style="1" customWidth="1"/>
    <col min="2722" max="2722" width="58.5703125" style="1" customWidth="1"/>
    <col min="2723" max="2723" width="16.5703125" style="1" customWidth="1"/>
    <col min="2724" max="2724" width="5" style="1" customWidth="1"/>
    <col min="2725" max="2727" width="6" style="1" customWidth="1"/>
    <col min="2728" max="2728" width="12.42578125" style="1" bestFit="1" customWidth="1"/>
    <col min="2729" max="2729" width="9.140625" style="1"/>
    <col min="2730" max="2730" width="12.42578125" style="1" bestFit="1" customWidth="1"/>
    <col min="2731" max="2966" width="9.140625" style="1"/>
    <col min="2967" max="2967" width="3.7109375" style="1" customWidth="1"/>
    <col min="2968" max="2968" width="4.7109375" style="1" customWidth="1"/>
    <col min="2969" max="2969" width="6.42578125" style="1" customWidth="1"/>
    <col min="2970" max="2970" width="7.28515625" style="1" customWidth="1"/>
    <col min="2971" max="2971" width="9.7109375" style="1" customWidth="1"/>
    <col min="2972" max="2972" width="7.7109375" style="1" bestFit="1" customWidth="1"/>
    <col min="2973" max="2974" width="8.42578125" style="1" customWidth="1"/>
    <col min="2975" max="2975" width="8.5703125" style="1" customWidth="1"/>
    <col min="2976" max="2977" width="8.7109375" style="1" customWidth="1"/>
    <col min="2978" max="2978" width="58.5703125" style="1" customWidth="1"/>
    <col min="2979" max="2979" width="16.5703125" style="1" customWidth="1"/>
    <col min="2980" max="2980" width="5" style="1" customWidth="1"/>
    <col min="2981" max="2983" width="6" style="1" customWidth="1"/>
    <col min="2984" max="2984" width="12.42578125" style="1" bestFit="1" customWidth="1"/>
    <col min="2985" max="2985" width="9.140625" style="1"/>
    <col min="2986" max="2986" width="12.42578125" style="1" bestFit="1" customWidth="1"/>
    <col min="2987" max="3222" width="9.140625" style="1"/>
    <col min="3223" max="3223" width="3.7109375" style="1" customWidth="1"/>
    <col min="3224" max="3224" width="4.7109375" style="1" customWidth="1"/>
    <col min="3225" max="3225" width="6.42578125" style="1" customWidth="1"/>
    <col min="3226" max="3226" width="7.28515625" style="1" customWidth="1"/>
    <col min="3227" max="3227" width="9.7109375" style="1" customWidth="1"/>
    <col min="3228" max="3228" width="7.7109375" style="1" bestFit="1" customWidth="1"/>
    <col min="3229" max="3230" width="8.42578125" style="1" customWidth="1"/>
    <col min="3231" max="3231" width="8.5703125" style="1" customWidth="1"/>
    <col min="3232" max="3233" width="8.7109375" style="1" customWidth="1"/>
    <col min="3234" max="3234" width="58.5703125" style="1" customWidth="1"/>
    <col min="3235" max="3235" width="16.5703125" style="1" customWidth="1"/>
    <col min="3236" max="3236" width="5" style="1" customWidth="1"/>
    <col min="3237" max="3239" width="6" style="1" customWidth="1"/>
    <col min="3240" max="3240" width="12.42578125" style="1" bestFit="1" customWidth="1"/>
    <col min="3241" max="3241" width="9.140625" style="1"/>
    <col min="3242" max="3242" width="12.42578125" style="1" bestFit="1" customWidth="1"/>
    <col min="3243" max="3478" width="9.140625" style="1"/>
    <col min="3479" max="3479" width="3.7109375" style="1" customWidth="1"/>
    <col min="3480" max="3480" width="4.7109375" style="1" customWidth="1"/>
    <col min="3481" max="3481" width="6.42578125" style="1" customWidth="1"/>
    <col min="3482" max="3482" width="7.28515625" style="1" customWidth="1"/>
    <col min="3483" max="3483" width="9.7109375" style="1" customWidth="1"/>
    <col min="3484" max="3484" width="7.7109375" style="1" bestFit="1" customWidth="1"/>
    <col min="3485" max="3486" width="8.42578125" style="1" customWidth="1"/>
    <col min="3487" max="3487" width="8.5703125" style="1" customWidth="1"/>
    <col min="3488" max="3489" width="8.7109375" style="1" customWidth="1"/>
    <col min="3490" max="3490" width="58.5703125" style="1" customWidth="1"/>
    <col min="3491" max="3491" width="16.5703125" style="1" customWidth="1"/>
    <col min="3492" max="3492" width="5" style="1" customWidth="1"/>
    <col min="3493" max="3495" width="6" style="1" customWidth="1"/>
    <col min="3496" max="3496" width="12.42578125" style="1" bestFit="1" customWidth="1"/>
    <col min="3497" max="3497" width="9.140625" style="1"/>
    <col min="3498" max="3498" width="12.42578125" style="1" bestFit="1" customWidth="1"/>
    <col min="3499" max="3734" width="9.140625" style="1"/>
    <col min="3735" max="3735" width="3.7109375" style="1" customWidth="1"/>
    <col min="3736" max="3736" width="4.7109375" style="1" customWidth="1"/>
    <col min="3737" max="3737" width="6.42578125" style="1" customWidth="1"/>
    <col min="3738" max="3738" width="7.28515625" style="1" customWidth="1"/>
    <col min="3739" max="3739" width="9.7109375" style="1" customWidth="1"/>
    <col min="3740" max="3740" width="7.7109375" style="1" bestFit="1" customWidth="1"/>
    <col min="3741" max="3742" width="8.42578125" style="1" customWidth="1"/>
    <col min="3743" max="3743" width="8.5703125" style="1" customWidth="1"/>
    <col min="3744" max="3745" width="8.7109375" style="1" customWidth="1"/>
    <col min="3746" max="3746" width="58.5703125" style="1" customWidth="1"/>
    <col min="3747" max="3747" width="16.5703125" style="1" customWidth="1"/>
    <col min="3748" max="3748" width="5" style="1" customWidth="1"/>
    <col min="3749" max="3751" width="6" style="1" customWidth="1"/>
    <col min="3752" max="3752" width="12.42578125" style="1" bestFit="1" customWidth="1"/>
    <col min="3753" max="3753" width="9.140625" style="1"/>
    <col min="3754" max="3754" width="12.42578125" style="1" bestFit="1" customWidth="1"/>
    <col min="3755" max="3990" width="9.140625" style="1"/>
    <col min="3991" max="3991" width="3.7109375" style="1" customWidth="1"/>
    <col min="3992" max="3992" width="4.7109375" style="1" customWidth="1"/>
    <col min="3993" max="3993" width="6.42578125" style="1" customWidth="1"/>
    <col min="3994" max="3994" width="7.28515625" style="1" customWidth="1"/>
    <col min="3995" max="3995" width="9.7109375" style="1" customWidth="1"/>
    <col min="3996" max="3996" width="7.7109375" style="1" bestFit="1" customWidth="1"/>
    <col min="3997" max="3998" width="8.42578125" style="1" customWidth="1"/>
    <col min="3999" max="3999" width="8.5703125" style="1" customWidth="1"/>
    <col min="4000" max="4001" width="8.7109375" style="1" customWidth="1"/>
    <col min="4002" max="4002" width="58.5703125" style="1" customWidth="1"/>
    <col min="4003" max="4003" width="16.5703125" style="1" customWidth="1"/>
    <col min="4004" max="4004" width="5" style="1" customWidth="1"/>
    <col min="4005" max="4007" width="6" style="1" customWidth="1"/>
    <col min="4008" max="4008" width="12.42578125" style="1" bestFit="1" customWidth="1"/>
    <col min="4009" max="4009" width="9.140625" style="1"/>
    <col min="4010" max="4010" width="12.42578125" style="1" bestFit="1" customWidth="1"/>
    <col min="4011" max="4246" width="9.140625" style="1"/>
    <col min="4247" max="4247" width="3.7109375" style="1" customWidth="1"/>
    <col min="4248" max="4248" width="4.7109375" style="1" customWidth="1"/>
    <col min="4249" max="4249" width="6.42578125" style="1" customWidth="1"/>
    <col min="4250" max="4250" width="7.28515625" style="1" customWidth="1"/>
    <col min="4251" max="4251" width="9.7109375" style="1" customWidth="1"/>
    <col min="4252" max="4252" width="7.7109375" style="1" bestFit="1" customWidth="1"/>
    <col min="4253" max="4254" width="8.42578125" style="1" customWidth="1"/>
    <col min="4255" max="4255" width="8.5703125" style="1" customWidth="1"/>
    <col min="4256" max="4257" width="8.7109375" style="1" customWidth="1"/>
    <col min="4258" max="4258" width="58.5703125" style="1" customWidth="1"/>
    <col min="4259" max="4259" width="16.5703125" style="1" customWidth="1"/>
    <col min="4260" max="4260" width="5" style="1" customWidth="1"/>
    <col min="4261" max="4263" width="6" style="1" customWidth="1"/>
    <col min="4264" max="4264" width="12.42578125" style="1" bestFit="1" customWidth="1"/>
    <col min="4265" max="4265" width="9.140625" style="1"/>
    <col min="4266" max="4266" width="12.42578125" style="1" bestFit="1" customWidth="1"/>
    <col min="4267" max="4502" width="9.140625" style="1"/>
    <col min="4503" max="4503" width="3.7109375" style="1" customWidth="1"/>
    <col min="4504" max="4504" width="4.7109375" style="1" customWidth="1"/>
    <col min="4505" max="4505" width="6.42578125" style="1" customWidth="1"/>
    <col min="4506" max="4506" width="7.28515625" style="1" customWidth="1"/>
    <col min="4507" max="4507" width="9.7109375" style="1" customWidth="1"/>
    <col min="4508" max="4508" width="7.7109375" style="1" bestFit="1" customWidth="1"/>
    <col min="4509" max="4510" width="8.42578125" style="1" customWidth="1"/>
    <col min="4511" max="4511" width="8.5703125" style="1" customWidth="1"/>
    <col min="4512" max="4513" width="8.7109375" style="1" customWidth="1"/>
    <col min="4514" max="4514" width="58.5703125" style="1" customWidth="1"/>
    <col min="4515" max="4515" width="16.5703125" style="1" customWidth="1"/>
    <col min="4516" max="4516" width="5" style="1" customWidth="1"/>
    <col min="4517" max="4519" width="6" style="1" customWidth="1"/>
    <col min="4520" max="4520" width="12.42578125" style="1" bestFit="1" customWidth="1"/>
    <col min="4521" max="4521" width="9.140625" style="1"/>
    <col min="4522" max="4522" width="12.42578125" style="1" bestFit="1" customWidth="1"/>
    <col min="4523" max="4758" width="9.140625" style="1"/>
    <col min="4759" max="4759" width="3.7109375" style="1" customWidth="1"/>
    <col min="4760" max="4760" width="4.7109375" style="1" customWidth="1"/>
    <col min="4761" max="4761" width="6.42578125" style="1" customWidth="1"/>
    <col min="4762" max="4762" width="7.28515625" style="1" customWidth="1"/>
    <col min="4763" max="4763" width="9.7109375" style="1" customWidth="1"/>
    <col min="4764" max="4764" width="7.7109375" style="1" bestFit="1" customWidth="1"/>
    <col min="4765" max="4766" width="8.42578125" style="1" customWidth="1"/>
    <col min="4767" max="4767" width="8.5703125" style="1" customWidth="1"/>
    <col min="4768" max="4769" width="8.7109375" style="1" customWidth="1"/>
    <col min="4770" max="4770" width="58.5703125" style="1" customWidth="1"/>
    <col min="4771" max="4771" width="16.5703125" style="1" customWidth="1"/>
    <col min="4772" max="4772" width="5" style="1" customWidth="1"/>
    <col min="4773" max="4775" width="6" style="1" customWidth="1"/>
    <col min="4776" max="4776" width="12.42578125" style="1" bestFit="1" customWidth="1"/>
    <col min="4777" max="4777" width="9.140625" style="1"/>
    <col min="4778" max="4778" width="12.42578125" style="1" bestFit="1" customWidth="1"/>
    <col min="4779" max="5014" width="9.140625" style="1"/>
    <col min="5015" max="5015" width="3.7109375" style="1" customWidth="1"/>
    <col min="5016" max="5016" width="4.7109375" style="1" customWidth="1"/>
    <col min="5017" max="5017" width="6.42578125" style="1" customWidth="1"/>
    <col min="5018" max="5018" width="7.28515625" style="1" customWidth="1"/>
    <col min="5019" max="5019" width="9.7109375" style="1" customWidth="1"/>
    <col min="5020" max="5020" width="7.7109375" style="1" bestFit="1" customWidth="1"/>
    <col min="5021" max="5022" width="8.42578125" style="1" customWidth="1"/>
    <col min="5023" max="5023" width="8.5703125" style="1" customWidth="1"/>
    <col min="5024" max="5025" width="8.7109375" style="1" customWidth="1"/>
    <col min="5026" max="5026" width="58.5703125" style="1" customWidth="1"/>
    <col min="5027" max="5027" width="16.5703125" style="1" customWidth="1"/>
    <col min="5028" max="5028" width="5" style="1" customWidth="1"/>
    <col min="5029" max="5031" width="6" style="1" customWidth="1"/>
    <col min="5032" max="5032" width="12.42578125" style="1" bestFit="1" customWidth="1"/>
    <col min="5033" max="5033" width="9.140625" style="1"/>
    <col min="5034" max="5034" width="12.42578125" style="1" bestFit="1" customWidth="1"/>
    <col min="5035" max="5270" width="9.140625" style="1"/>
    <col min="5271" max="5271" width="3.7109375" style="1" customWidth="1"/>
    <col min="5272" max="5272" width="4.7109375" style="1" customWidth="1"/>
    <col min="5273" max="5273" width="6.42578125" style="1" customWidth="1"/>
    <col min="5274" max="5274" width="7.28515625" style="1" customWidth="1"/>
    <col min="5275" max="5275" width="9.7109375" style="1" customWidth="1"/>
    <col min="5276" max="5276" width="7.7109375" style="1" bestFit="1" customWidth="1"/>
    <col min="5277" max="5278" width="8.42578125" style="1" customWidth="1"/>
    <col min="5279" max="5279" width="8.5703125" style="1" customWidth="1"/>
    <col min="5280" max="5281" width="8.7109375" style="1" customWidth="1"/>
    <col min="5282" max="5282" width="58.5703125" style="1" customWidth="1"/>
    <col min="5283" max="5283" width="16.5703125" style="1" customWidth="1"/>
    <col min="5284" max="5284" width="5" style="1" customWidth="1"/>
    <col min="5285" max="5287" width="6" style="1" customWidth="1"/>
    <col min="5288" max="5288" width="12.42578125" style="1" bestFit="1" customWidth="1"/>
    <col min="5289" max="5289" width="9.140625" style="1"/>
    <col min="5290" max="5290" width="12.42578125" style="1" bestFit="1" customWidth="1"/>
    <col min="5291" max="5526" width="9.140625" style="1"/>
    <col min="5527" max="5527" width="3.7109375" style="1" customWidth="1"/>
    <col min="5528" max="5528" width="4.7109375" style="1" customWidth="1"/>
    <col min="5529" max="5529" width="6.42578125" style="1" customWidth="1"/>
    <col min="5530" max="5530" width="7.28515625" style="1" customWidth="1"/>
    <col min="5531" max="5531" width="9.7109375" style="1" customWidth="1"/>
    <col min="5532" max="5532" width="7.7109375" style="1" bestFit="1" customWidth="1"/>
    <col min="5533" max="5534" width="8.42578125" style="1" customWidth="1"/>
    <col min="5535" max="5535" width="8.5703125" style="1" customWidth="1"/>
    <col min="5536" max="5537" width="8.7109375" style="1" customWidth="1"/>
    <col min="5538" max="5538" width="58.5703125" style="1" customWidth="1"/>
    <col min="5539" max="5539" width="16.5703125" style="1" customWidth="1"/>
    <col min="5540" max="5540" width="5" style="1" customWidth="1"/>
    <col min="5541" max="5543" width="6" style="1" customWidth="1"/>
    <col min="5544" max="5544" width="12.42578125" style="1" bestFit="1" customWidth="1"/>
    <col min="5545" max="5545" width="9.140625" style="1"/>
    <col min="5546" max="5546" width="12.42578125" style="1" bestFit="1" customWidth="1"/>
    <col min="5547" max="5782" width="9.140625" style="1"/>
    <col min="5783" max="5783" width="3.7109375" style="1" customWidth="1"/>
    <col min="5784" max="5784" width="4.7109375" style="1" customWidth="1"/>
    <col min="5785" max="5785" width="6.42578125" style="1" customWidth="1"/>
    <col min="5786" max="5786" width="7.28515625" style="1" customWidth="1"/>
    <col min="5787" max="5787" width="9.7109375" style="1" customWidth="1"/>
    <col min="5788" max="5788" width="7.7109375" style="1" bestFit="1" customWidth="1"/>
    <col min="5789" max="5790" width="8.42578125" style="1" customWidth="1"/>
    <col min="5791" max="5791" width="8.5703125" style="1" customWidth="1"/>
    <col min="5792" max="5793" width="8.7109375" style="1" customWidth="1"/>
    <col min="5794" max="5794" width="58.5703125" style="1" customWidth="1"/>
    <col min="5795" max="5795" width="16.5703125" style="1" customWidth="1"/>
    <col min="5796" max="5796" width="5" style="1" customWidth="1"/>
    <col min="5797" max="5799" width="6" style="1" customWidth="1"/>
    <col min="5800" max="5800" width="12.42578125" style="1" bestFit="1" customWidth="1"/>
    <col min="5801" max="5801" width="9.140625" style="1"/>
    <col min="5802" max="5802" width="12.42578125" style="1" bestFit="1" customWidth="1"/>
    <col min="5803" max="6038" width="9.140625" style="1"/>
    <col min="6039" max="6039" width="3.7109375" style="1" customWidth="1"/>
    <col min="6040" max="6040" width="4.7109375" style="1" customWidth="1"/>
    <col min="6041" max="6041" width="6.42578125" style="1" customWidth="1"/>
    <col min="6042" max="6042" width="7.28515625" style="1" customWidth="1"/>
    <col min="6043" max="6043" width="9.7109375" style="1" customWidth="1"/>
    <col min="6044" max="6044" width="7.7109375" style="1" bestFit="1" customWidth="1"/>
    <col min="6045" max="6046" width="8.42578125" style="1" customWidth="1"/>
    <col min="6047" max="6047" width="8.5703125" style="1" customWidth="1"/>
    <col min="6048" max="6049" width="8.7109375" style="1" customWidth="1"/>
    <col min="6050" max="6050" width="58.5703125" style="1" customWidth="1"/>
    <col min="6051" max="6051" width="16.5703125" style="1" customWidth="1"/>
    <col min="6052" max="6052" width="5" style="1" customWidth="1"/>
    <col min="6053" max="6055" width="6" style="1" customWidth="1"/>
    <col min="6056" max="6056" width="12.42578125" style="1" bestFit="1" customWidth="1"/>
    <col min="6057" max="6057" width="9.140625" style="1"/>
    <col min="6058" max="6058" width="12.42578125" style="1" bestFit="1" customWidth="1"/>
    <col min="6059" max="6294" width="9.140625" style="1"/>
    <col min="6295" max="6295" width="3.7109375" style="1" customWidth="1"/>
    <col min="6296" max="6296" width="4.7109375" style="1" customWidth="1"/>
    <col min="6297" max="6297" width="6.42578125" style="1" customWidth="1"/>
    <col min="6298" max="6298" width="7.28515625" style="1" customWidth="1"/>
    <col min="6299" max="6299" width="9.7109375" style="1" customWidth="1"/>
    <col min="6300" max="6300" width="7.7109375" style="1" bestFit="1" customWidth="1"/>
    <col min="6301" max="6302" width="8.42578125" style="1" customWidth="1"/>
    <col min="6303" max="6303" width="8.5703125" style="1" customWidth="1"/>
    <col min="6304" max="6305" width="8.7109375" style="1" customWidth="1"/>
    <col min="6306" max="6306" width="58.5703125" style="1" customWidth="1"/>
    <col min="6307" max="6307" width="16.5703125" style="1" customWidth="1"/>
    <col min="6308" max="6308" width="5" style="1" customWidth="1"/>
    <col min="6309" max="6311" width="6" style="1" customWidth="1"/>
    <col min="6312" max="6312" width="12.42578125" style="1" bestFit="1" customWidth="1"/>
    <col min="6313" max="6313" width="9.140625" style="1"/>
    <col min="6314" max="6314" width="12.42578125" style="1" bestFit="1" customWidth="1"/>
    <col min="6315" max="6550" width="9.140625" style="1"/>
    <col min="6551" max="6551" width="3.7109375" style="1" customWidth="1"/>
    <col min="6552" max="6552" width="4.7109375" style="1" customWidth="1"/>
    <col min="6553" max="6553" width="6.42578125" style="1" customWidth="1"/>
    <col min="6554" max="6554" width="7.28515625" style="1" customWidth="1"/>
    <col min="6555" max="6555" width="9.7109375" style="1" customWidth="1"/>
    <col min="6556" max="6556" width="7.7109375" style="1" bestFit="1" customWidth="1"/>
    <col min="6557" max="6558" width="8.42578125" style="1" customWidth="1"/>
    <col min="6559" max="6559" width="8.5703125" style="1" customWidth="1"/>
    <col min="6560" max="6561" width="8.7109375" style="1" customWidth="1"/>
    <col min="6562" max="6562" width="58.5703125" style="1" customWidth="1"/>
    <col min="6563" max="6563" width="16.5703125" style="1" customWidth="1"/>
    <col min="6564" max="6564" width="5" style="1" customWidth="1"/>
    <col min="6565" max="6567" width="6" style="1" customWidth="1"/>
    <col min="6568" max="6568" width="12.42578125" style="1" bestFit="1" customWidth="1"/>
    <col min="6569" max="6569" width="9.140625" style="1"/>
    <col min="6570" max="6570" width="12.42578125" style="1" bestFit="1" customWidth="1"/>
    <col min="6571" max="6806" width="9.140625" style="1"/>
    <col min="6807" max="6807" width="3.7109375" style="1" customWidth="1"/>
    <col min="6808" max="6808" width="4.7109375" style="1" customWidth="1"/>
    <col min="6809" max="6809" width="6.42578125" style="1" customWidth="1"/>
    <col min="6810" max="6810" width="7.28515625" style="1" customWidth="1"/>
    <col min="6811" max="6811" width="9.7109375" style="1" customWidth="1"/>
    <col min="6812" max="6812" width="7.7109375" style="1" bestFit="1" customWidth="1"/>
    <col min="6813" max="6814" width="8.42578125" style="1" customWidth="1"/>
    <col min="6815" max="6815" width="8.5703125" style="1" customWidth="1"/>
    <col min="6816" max="6817" width="8.7109375" style="1" customWidth="1"/>
    <col min="6818" max="6818" width="58.5703125" style="1" customWidth="1"/>
    <col min="6819" max="6819" width="16.5703125" style="1" customWidth="1"/>
    <col min="6820" max="6820" width="5" style="1" customWidth="1"/>
    <col min="6821" max="6823" width="6" style="1" customWidth="1"/>
    <col min="6824" max="6824" width="12.42578125" style="1" bestFit="1" customWidth="1"/>
    <col min="6825" max="6825" width="9.140625" style="1"/>
    <col min="6826" max="6826" width="12.42578125" style="1" bestFit="1" customWidth="1"/>
    <col min="6827" max="7062" width="9.140625" style="1"/>
    <col min="7063" max="7063" width="3.7109375" style="1" customWidth="1"/>
    <col min="7064" max="7064" width="4.7109375" style="1" customWidth="1"/>
    <col min="7065" max="7065" width="6.42578125" style="1" customWidth="1"/>
    <col min="7066" max="7066" width="7.28515625" style="1" customWidth="1"/>
    <col min="7067" max="7067" width="9.7109375" style="1" customWidth="1"/>
    <col min="7068" max="7068" width="7.7109375" style="1" bestFit="1" customWidth="1"/>
    <col min="7069" max="7070" width="8.42578125" style="1" customWidth="1"/>
    <col min="7071" max="7071" width="8.5703125" style="1" customWidth="1"/>
    <col min="7072" max="7073" width="8.7109375" style="1" customWidth="1"/>
    <col min="7074" max="7074" width="58.5703125" style="1" customWidth="1"/>
    <col min="7075" max="7075" width="16.5703125" style="1" customWidth="1"/>
    <col min="7076" max="7076" width="5" style="1" customWidth="1"/>
    <col min="7077" max="7079" width="6" style="1" customWidth="1"/>
    <col min="7080" max="7080" width="12.42578125" style="1" bestFit="1" customWidth="1"/>
    <col min="7081" max="7081" width="9.140625" style="1"/>
    <col min="7082" max="7082" width="12.42578125" style="1" bestFit="1" customWidth="1"/>
    <col min="7083" max="7318" width="9.140625" style="1"/>
    <col min="7319" max="7319" width="3.7109375" style="1" customWidth="1"/>
    <col min="7320" max="7320" width="4.7109375" style="1" customWidth="1"/>
    <col min="7321" max="7321" width="6.42578125" style="1" customWidth="1"/>
    <col min="7322" max="7322" width="7.28515625" style="1" customWidth="1"/>
    <col min="7323" max="7323" width="9.7109375" style="1" customWidth="1"/>
    <col min="7324" max="7324" width="7.7109375" style="1" bestFit="1" customWidth="1"/>
    <col min="7325" max="7326" width="8.42578125" style="1" customWidth="1"/>
    <col min="7327" max="7327" width="8.5703125" style="1" customWidth="1"/>
    <col min="7328" max="7329" width="8.7109375" style="1" customWidth="1"/>
    <col min="7330" max="7330" width="58.5703125" style="1" customWidth="1"/>
    <col min="7331" max="7331" width="16.5703125" style="1" customWidth="1"/>
    <col min="7332" max="7332" width="5" style="1" customWidth="1"/>
    <col min="7333" max="7335" width="6" style="1" customWidth="1"/>
    <col min="7336" max="7336" width="12.42578125" style="1" bestFit="1" customWidth="1"/>
    <col min="7337" max="7337" width="9.140625" style="1"/>
    <col min="7338" max="7338" width="12.42578125" style="1" bestFit="1" customWidth="1"/>
    <col min="7339" max="7574" width="9.140625" style="1"/>
    <col min="7575" max="7575" width="3.7109375" style="1" customWidth="1"/>
    <col min="7576" max="7576" width="4.7109375" style="1" customWidth="1"/>
    <col min="7577" max="7577" width="6.42578125" style="1" customWidth="1"/>
    <col min="7578" max="7578" width="7.28515625" style="1" customWidth="1"/>
    <col min="7579" max="7579" width="9.7109375" style="1" customWidth="1"/>
    <col min="7580" max="7580" width="7.7109375" style="1" bestFit="1" customWidth="1"/>
    <col min="7581" max="7582" width="8.42578125" style="1" customWidth="1"/>
    <col min="7583" max="7583" width="8.5703125" style="1" customWidth="1"/>
    <col min="7584" max="7585" width="8.7109375" style="1" customWidth="1"/>
    <col min="7586" max="7586" width="58.5703125" style="1" customWidth="1"/>
    <col min="7587" max="7587" width="16.5703125" style="1" customWidth="1"/>
    <col min="7588" max="7588" width="5" style="1" customWidth="1"/>
    <col min="7589" max="7591" width="6" style="1" customWidth="1"/>
    <col min="7592" max="7592" width="12.42578125" style="1" bestFit="1" customWidth="1"/>
    <col min="7593" max="7593" width="9.140625" style="1"/>
    <col min="7594" max="7594" width="12.42578125" style="1" bestFit="1" customWidth="1"/>
    <col min="7595" max="7830" width="9.140625" style="1"/>
    <col min="7831" max="7831" width="3.7109375" style="1" customWidth="1"/>
    <col min="7832" max="7832" width="4.7109375" style="1" customWidth="1"/>
    <col min="7833" max="7833" width="6.42578125" style="1" customWidth="1"/>
    <col min="7834" max="7834" width="7.28515625" style="1" customWidth="1"/>
    <col min="7835" max="7835" width="9.7109375" style="1" customWidth="1"/>
    <col min="7836" max="7836" width="7.7109375" style="1" bestFit="1" customWidth="1"/>
    <col min="7837" max="7838" width="8.42578125" style="1" customWidth="1"/>
    <col min="7839" max="7839" width="8.5703125" style="1" customWidth="1"/>
    <col min="7840" max="7841" width="8.7109375" style="1" customWidth="1"/>
    <col min="7842" max="7842" width="58.5703125" style="1" customWidth="1"/>
    <col min="7843" max="7843" width="16.5703125" style="1" customWidth="1"/>
    <col min="7844" max="7844" width="5" style="1" customWidth="1"/>
    <col min="7845" max="7847" width="6" style="1" customWidth="1"/>
    <col min="7848" max="7848" width="12.42578125" style="1" bestFit="1" customWidth="1"/>
    <col min="7849" max="7849" width="9.140625" style="1"/>
    <col min="7850" max="7850" width="12.42578125" style="1" bestFit="1" customWidth="1"/>
    <col min="7851" max="8086" width="9.140625" style="1"/>
    <col min="8087" max="8087" width="3.7109375" style="1" customWidth="1"/>
    <col min="8088" max="8088" width="4.7109375" style="1" customWidth="1"/>
    <col min="8089" max="8089" width="6.42578125" style="1" customWidth="1"/>
    <col min="8090" max="8090" width="7.28515625" style="1" customWidth="1"/>
    <col min="8091" max="8091" width="9.7109375" style="1" customWidth="1"/>
    <col min="8092" max="8092" width="7.7109375" style="1" bestFit="1" customWidth="1"/>
    <col min="8093" max="8094" width="8.42578125" style="1" customWidth="1"/>
    <col min="8095" max="8095" width="8.5703125" style="1" customWidth="1"/>
    <col min="8096" max="8097" width="8.7109375" style="1" customWidth="1"/>
    <col min="8098" max="8098" width="58.5703125" style="1" customWidth="1"/>
    <col min="8099" max="8099" width="16.5703125" style="1" customWidth="1"/>
    <col min="8100" max="8100" width="5" style="1" customWidth="1"/>
    <col min="8101" max="8103" width="6" style="1" customWidth="1"/>
    <col min="8104" max="8104" width="12.42578125" style="1" bestFit="1" customWidth="1"/>
    <col min="8105" max="8105" width="9.140625" style="1"/>
    <col min="8106" max="8106" width="12.42578125" style="1" bestFit="1" customWidth="1"/>
    <col min="8107" max="8342" width="9.140625" style="1"/>
    <col min="8343" max="8343" width="3.7109375" style="1" customWidth="1"/>
    <col min="8344" max="8344" width="4.7109375" style="1" customWidth="1"/>
    <col min="8345" max="8345" width="6.42578125" style="1" customWidth="1"/>
    <col min="8346" max="8346" width="7.28515625" style="1" customWidth="1"/>
    <col min="8347" max="8347" width="9.7109375" style="1" customWidth="1"/>
    <col min="8348" max="8348" width="7.7109375" style="1" bestFit="1" customWidth="1"/>
    <col min="8349" max="8350" width="8.42578125" style="1" customWidth="1"/>
    <col min="8351" max="8351" width="8.5703125" style="1" customWidth="1"/>
    <col min="8352" max="8353" width="8.7109375" style="1" customWidth="1"/>
    <col min="8354" max="8354" width="58.5703125" style="1" customWidth="1"/>
    <col min="8355" max="8355" width="16.5703125" style="1" customWidth="1"/>
    <col min="8356" max="8356" width="5" style="1" customWidth="1"/>
    <col min="8357" max="8359" width="6" style="1" customWidth="1"/>
    <col min="8360" max="8360" width="12.42578125" style="1" bestFit="1" customWidth="1"/>
    <col min="8361" max="8361" width="9.140625" style="1"/>
    <col min="8362" max="8362" width="12.42578125" style="1" bestFit="1" customWidth="1"/>
    <col min="8363" max="8598" width="9.140625" style="1"/>
    <col min="8599" max="8599" width="3.7109375" style="1" customWidth="1"/>
    <col min="8600" max="8600" width="4.7109375" style="1" customWidth="1"/>
    <col min="8601" max="8601" width="6.42578125" style="1" customWidth="1"/>
    <col min="8602" max="8602" width="7.28515625" style="1" customWidth="1"/>
    <col min="8603" max="8603" width="9.7109375" style="1" customWidth="1"/>
    <col min="8604" max="8604" width="7.7109375" style="1" bestFit="1" customWidth="1"/>
    <col min="8605" max="8606" width="8.42578125" style="1" customWidth="1"/>
    <col min="8607" max="8607" width="8.5703125" style="1" customWidth="1"/>
    <col min="8608" max="8609" width="8.7109375" style="1" customWidth="1"/>
    <col min="8610" max="8610" width="58.5703125" style="1" customWidth="1"/>
    <col min="8611" max="8611" width="16.5703125" style="1" customWidth="1"/>
    <col min="8612" max="8612" width="5" style="1" customWidth="1"/>
    <col min="8613" max="8615" width="6" style="1" customWidth="1"/>
    <col min="8616" max="8616" width="12.42578125" style="1" bestFit="1" customWidth="1"/>
    <col min="8617" max="8617" width="9.140625" style="1"/>
    <col min="8618" max="8618" width="12.42578125" style="1" bestFit="1" customWidth="1"/>
    <col min="8619" max="8854" width="9.140625" style="1"/>
    <col min="8855" max="8855" width="3.7109375" style="1" customWidth="1"/>
    <col min="8856" max="8856" width="4.7109375" style="1" customWidth="1"/>
    <col min="8857" max="8857" width="6.42578125" style="1" customWidth="1"/>
    <col min="8858" max="8858" width="7.28515625" style="1" customWidth="1"/>
    <col min="8859" max="8859" width="9.7109375" style="1" customWidth="1"/>
    <col min="8860" max="8860" width="7.7109375" style="1" bestFit="1" customWidth="1"/>
    <col min="8861" max="8862" width="8.42578125" style="1" customWidth="1"/>
    <col min="8863" max="8863" width="8.5703125" style="1" customWidth="1"/>
    <col min="8864" max="8865" width="8.7109375" style="1" customWidth="1"/>
    <col min="8866" max="8866" width="58.5703125" style="1" customWidth="1"/>
    <col min="8867" max="8867" width="16.5703125" style="1" customWidth="1"/>
    <col min="8868" max="8868" width="5" style="1" customWidth="1"/>
    <col min="8869" max="8871" width="6" style="1" customWidth="1"/>
    <col min="8872" max="8872" width="12.42578125" style="1" bestFit="1" customWidth="1"/>
    <col min="8873" max="8873" width="9.140625" style="1"/>
    <col min="8874" max="8874" width="12.42578125" style="1" bestFit="1" customWidth="1"/>
    <col min="8875" max="9110" width="9.140625" style="1"/>
    <col min="9111" max="9111" width="3.7109375" style="1" customWidth="1"/>
    <col min="9112" max="9112" width="4.7109375" style="1" customWidth="1"/>
    <col min="9113" max="9113" width="6.42578125" style="1" customWidth="1"/>
    <col min="9114" max="9114" width="7.28515625" style="1" customWidth="1"/>
    <col min="9115" max="9115" width="9.7109375" style="1" customWidth="1"/>
    <col min="9116" max="9116" width="7.7109375" style="1" bestFit="1" customWidth="1"/>
    <col min="9117" max="9118" width="8.42578125" style="1" customWidth="1"/>
    <col min="9119" max="9119" width="8.5703125" style="1" customWidth="1"/>
    <col min="9120" max="9121" width="8.7109375" style="1" customWidth="1"/>
    <col min="9122" max="9122" width="58.5703125" style="1" customWidth="1"/>
    <col min="9123" max="9123" width="16.5703125" style="1" customWidth="1"/>
    <col min="9124" max="9124" width="5" style="1" customWidth="1"/>
    <col min="9125" max="9127" width="6" style="1" customWidth="1"/>
    <col min="9128" max="9128" width="12.42578125" style="1" bestFit="1" customWidth="1"/>
    <col min="9129" max="9129" width="9.140625" style="1"/>
    <col min="9130" max="9130" width="12.42578125" style="1" bestFit="1" customWidth="1"/>
    <col min="9131" max="9366" width="9.140625" style="1"/>
    <col min="9367" max="9367" width="3.7109375" style="1" customWidth="1"/>
    <col min="9368" max="9368" width="4.7109375" style="1" customWidth="1"/>
    <col min="9369" max="9369" width="6.42578125" style="1" customWidth="1"/>
    <col min="9370" max="9370" width="7.28515625" style="1" customWidth="1"/>
    <col min="9371" max="9371" width="9.7109375" style="1" customWidth="1"/>
    <col min="9372" max="9372" width="7.7109375" style="1" bestFit="1" customWidth="1"/>
    <col min="9373" max="9374" width="8.42578125" style="1" customWidth="1"/>
    <col min="9375" max="9375" width="8.5703125" style="1" customWidth="1"/>
    <col min="9376" max="9377" width="8.7109375" style="1" customWidth="1"/>
    <col min="9378" max="9378" width="58.5703125" style="1" customWidth="1"/>
    <col min="9379" max="9379" width="16.5703125" style="1" customWidth="1"/>
    <col min="9380" max="9380" width="5" style="1" customWidth="1"/>
    <col min="9381" max="9383" width="6" style="1" customWidth="1"/>
    <col min="9384" max="9384" width="12.42578125" style="1" bestFit="1" customWidth="1"/>
    <col min="9385" max="9385" width="9.140625" style="1"/>
    <col min="9386" max="9386" width="12.42578125" style="1" bestFit="1" customWidth="1"/>
    <col min="9387" max="9622" width="9.140625" style="1"/>
    <col min="9623" max="9623" width="3.7109375" style="1" customWidth="1"/>
    <col min="9624" max="9624" width="4.7109375" style="1" customWidth="1"/>
    <col min="9625" max="9625" width="6.42578125" style="1" customWidth="1"/>
    <col min="9626" max="9626" width="7.28515625" style="1" customWidth="1"/>
    <col min="9627" max="9627" width="9.7109375" style="1" customWidth="1"/>
    <col min="9628" max="9628" width="7.7109375" style="1" bestFit="1" customWidth="1"/>
    <col min="9629" max="9630" width="8.42578125" style="1" customWidth="1"/>
    <col min="9631" max="9631" width="8.5703125" style="1" customWidth="1"/>
    <col min="9632" max="9633" width="8.7109375" style="1" customWidth="1"/>
    <col min="9634" max="9634" width="58.5703125" style="1" customWidth="1"/>
    <col min="9635" max="9635" width="16.5703125" style="1" customWidth="1"/>
    <col min="9636" max="9636" width="5" style="1" customWidth="1"/>
    <col min="9637" max="9639" width="6" style="1" customWidth="1"/>
    <col min="9640" max="9640" width="12.42578125" style="1" bestFit="1" customWidth="1"/>
    <col min="9641" max="9641" width="9.140625" style="1"/>
    <col min="9642" max="9642" width="12.42578125" style="1" bestFit="1" customWidth="1"/>
    <col min="9643" max="9878" width="9.140625" style="1"/>
    <col min="9879" max="9879" width="3.7109375" style="1" customWidth="1"/>
    <col min="9880" max="9880" width="4.7109375" style="1" customWidth="1"/>
    <col min="9881" max="9881" width="6.42578125" style="1" customWidth="1"/>
    <col min="9882" max="9882" width="7.28515625" style="1" customWidth="1"/>
    <col min="9883" max="9883" width="9.7109375" style="1" customWidth="1"/>
    <col min="9884" max="9884" width="7.7109375" style="1" bestFit="1" customWidth="1"/>
    <col min="9885" max="9886" width="8.42578125" style="1" customWidth="1"/>
    <col min="9887" max="9887" width="8.5703125" style="1" customWidth="1"/>
    <col min="9888" max="9889" width="8.7109375" style="1" customWidth="1"/>
    <col min="9890" max="9890" width="58.5703125" style="1" customWidth="1"/>
    <col min="9891" max="9891" width="16.5703125" style="1" customWidth="1"/>
    <col min="9892" max="9892" width="5" style="1" customWidth="1"/>
    <col min="9893" max="9895" width="6" style="1" customWidth="1"/>
    <col min="9896" max="9896" width="12.42578125" style="1" bestFit="1" customWidth="1"/>
    <col min="9897" max="9897" width="9.140625" style="1"/>
    <col min="9898" max="9898" width="12.42578125" style="1" bestFit="1" customWidth="1"/>
    <col min="9899" max="10134" width="9.140625" style="1"/>
    <col min="10135" max="10135" width="3.7109375" style="1" customWidth="1"/>
    <col min="10136" max="10136" width="4.7109375" style="1" customWidth="1"/>
    <col min="10137" max="10137" width="6.42578125" style="1" customWidth="1"/>
    <col min="10138" max="10138" width="7.28515625" style="1" customWidth="1"/>
    <col min="10139" max="10139" width="9.7109375" style="1" customWidth="1"/>
    <col min="10140" max="10140" width="7.7109375" style="1" bestFit="1" customWidth="1"/>
    <col min="10141" max="10142" width="8.42578125" style="1" customWidth="1"/>
    <col min="10143" max="10143" width="8.5703125" style="1" customWidth="1"/>
    <col min="10144" max="10145" width="8.7109375" style="1" customWidth="1"/>
    <col min="10146" max="10146" width="58.5703125" style="1" customWidth="1"/>
    <col min="10147" max="10147" width="16.5703125" style="1" customWidth="1"/>
    <col min="10148" max="10148" width="5" style="1" customWidth="1"/>
    <col min="10149" max="10151" width="6" style="1" customWidth="1"/>
    <col min="10152" max="10152" width="12.42578125" style="1" bestFit="1" customWidth="1"/>
    <col min="10153" max="10153" width="9.140625" style="1"/>
    <col min="10154" max="10154" width="12.42578125" style="1" bestFit="1" customWidth="1"/>
    <col min="10155" max="10390" width="9.140625" style="1"/>
    <col min="10391" max="10391" width="3.7109375" style="1" customWidth="1"/>
    <col min="10392" max="10392" width="4.7109375" style="1" customWidth="1"/>
    <col min="10393" max="10393" width="6.42578125" style="1" customWidth="1"/>
    <col min="10394" max="10394" width="7.28515625" style="1" customWidth="1"/>
    <col min="10395" max="10395" width="9.7109375" style="1" customWidth="1"/>
    <col min="10396" max="10396" width="7.7109375" style="1" bestFit="1" customWidth="1"/>
    <col min="10397" max="10398" width="8.42578125" style="1" customWidth="1"/>
    <col min="10399" max="10399" width="8.5703125" style="1" customWidth="1"/>
    <col min="10400" max="10401" width="8.7109375" style="1" customWidth="1"/>
    <col min="10402" max="10402" width="58.5703125" style="1" customWidth="1"/>
    <col min="10403" max="10403" width="16.5703125" style="1" customWidth="1"/>
    <col min="10404" max="10404" width="5" style="1" customWidth="1"/>
    <col min="10405" max="10407" width="6" style="1" customWidth="1"/>
    <col min="10408" max="10408" width="12.42578125" style="1" bestFit="1" customWidth="1"/>
    <col min="10409" max="10409" width="9.140625" style="1"/>
    <col min="10410" max="10410" width="12.42578125" style="1" bestFit="1" customWidth="1"/>
    <col min="10411" max="10646" width="9.140625" style="1"/>
    <col min="10647" max="10647" width="3.7109375" style="1" customWidth="1"/>
    <col min="10648" max="10648" width="4.7109375" style="1" customWidth="1"/>
    <col min="10649" max="10649" width="6.42578125" style="1" customWidth="1"/>
    <col min="10650" max="10650" width="7.28515625" style="1" customWidth="1"/>
    <col min="10651" max="10651" width="9.7109375" style="1" customWidth="1"/>
    <col min="10652" max="10652" width="7.7109375" style="1" bestFit="1" customWidth="1"/>
    <col min="10653" max="10654" width="8.42578125" style="1" customWidth="1"/>
    <col min="10655" max="10655" width="8.5703125" style="1" customWidth="1"/>
    <col min="10656" max="10657" width="8.7109375" style="1" customWidth="1"/>
    <col min="10658" max="10658" width="58.5703125" style="1" customWidth="1"/>
    <col min="10659" max="10659" width="16.5703125" style="1" customWidth="1"/>
    <col min="10660" max="10660" width="5" style="1" customWidth="1"/>
    <col min="10661" max="10663" width="6" style="1" customWidth="1"/>
    <col min="10664" max="10664" width="12.42578125" style="1" bestFit="1" customWidth="1"/>
    <col min="10665" max="10665" width="9.140625" style="1"/>
    <col min="10666" max="10666" width="12.42578125" style="1" bestFit="1" customWidth="1"/>
    <col min="10667" max="10902" width="9.140625" style="1"/>
    <col min="10903" max="10903" width="3.7109375" style="1" customWidth="1"/>
    <col min="10904" max="10904" width="4.7109375" style="1" customWidth="1"/>
    <col min="10905" max="10905" width="6.42578125" style="1" customWidth="1"/>
    <col min="10906" max="10906" width="7.28515625" style="1" customWidth="1"/>
    <col min="10907" max="10907" width="9.7109375" style="1" customWidth="1"/>
    <col min="10908" max="10908" width="7.7109375" style="1" bestFit="1" customWidth="1"/>
    <col min="10909" max="10910" width="8.42578125" style="1" customWidth="1"/>
    <col min="10911" max="10911" width="8.5703125" style="1" customWidth="1"/>
    <col min="10912" max="10913" width="8.7109375" style="1" customWidth="1"/>
    <col min="10914" max="10914" width="58.5703125" style="1" customWidth="1"/>
    <col min="10915" max="10915" width="16.5703125" style="1" customWidth="1"/>
    <col min="10916" max="10916" width="5" style="1" customWidth="1"/>
    <col min="10917" max="10919" width="6" style="1" customWidth="1"/>
    <col min="10920" max="10920" width="12.42578125" style="1" bestFit="1" customWidth="1"/>
    <col min="10921" max="10921" width="9.140625" style="1"/>
    <col min="10922" max="10922" width="12.42578125" style="1" bestFit="1" customWidth="1"/>
    <col min="10923" max="11158" width="9.140625" style="1"/>
    <col min="11159" max="11159" width="3.7109375" style="1" customWidth="1"/>
    <col min="11160" max="11160" width="4.7109375" style="1" customWidth="1"/>
    <col min="11161" max="11161" width="6.42578125" style="1" customWidth="1"/>
    <col min="11162" max="11162" width="7.28515625" style="1" customWidth="1"/>
    <col min="11163" max="11163" width="9.7109375" style="1" customWidth="1"/>
    <col min="11164" max="11164" width="7.7109375" style="1" bestFit="1" customWidth="1"/>
    <col min="11165" max="11166" width="8.42578125" style="1" customWidth="1"/>
    <col min="11167" max="11167" width="8.5703125" style="1" customWidth="1"/>
    <col min="11168" max="11169" width="8.7109375" style="1" customWidth="1"/>
    <col min="11170" max="11170" width="58.5703125" style="1" customWidth="1"/>
    <col min="11171" max="11171" width="16.5703125" style="1" customWidth="1"/>
    <col min="11172" max="11172" width="5" style="1" customWidth="1"/>
    <col min="11173" max="11175" width="6" style="1" customWidth="1"/>
    <col min="11176" max="11176" width="12.42578125" style="1" bestFit="1" customWidth="1"/>
    <col min="11177" max="11177" width="9.140625" style="1"/>
    <col min="11178" max="11178" width="12.42578125" style="1" bestFit="1" customWidth="1"/>
    <col min="11179" max="11414" width="9.140625" style="1"/>
    <col min="11415" max="11415" width="3.7109375" style="1" customWidth="1"/>
    <col min="11416" max="11416" width="4.7109375" style="1" customWidth="1"/>
    <col min="11417" max="11417" width="6.42578125" style="1" customWidth="1"/>
    <col min="11418" max="11418" width="7.28515625" style="1" customWidth="1"/>
    <col min="11419" max="11419" width="9.7109375" style="1" customWidth="1"/>
    <col min="11420" max="11420" width="7.7109375" style="1" bestFit="1" customWidth="1"/>
    <col min="11421" max="11422" width="8.42578125" style="1" customWidth="1"/>
    <col min="11423" max="11423" width="8.5703125" style="1" customWidth="1"/>
    <col min="11424" max="11425" width="8.7109375" style="1" customWidth="1"/>
    <col min="11426" max="11426" width="58.5703125" style="1" customWidth="1"/>
    <col min="11427" max="11427" width="16.5703125" style="1" customWidth="1"/>
    <col min="11428" max="11428" width="5" style="1" customWidth="1"/>
    <col min="11429" max="11431" width="6" style="1" customWidth="1"/>
    <col min="11432" max="11432" width="12.42578125" style="1" bestFit="1" customWidth="1"/>
    <col min="11433" max="11433" width="9.140625" style="1"/>
    <col min="11434" max="11434" width="12.42578125" style="1" bestFit="1" customWidth="1"/>
    <col min="11435" max="11670" width="9.140625" style="1"/>
    <col min="11671" max="11671" width="3.7109375" style="1" customWidth="1"/>
    <col min="11672" max="11672" width="4.7109375" style="1" customWidth="1"/>
    <col min="11673" max="11673" width="6.42578125" style="1" customWidth="1"/>
    <col min="11674" max="11674" width="7.28515625" style="1" customWidth="1"/>
    <col min="11675" max="11675" width="9.7109375" style="1" customWidth="1"/>
    <col min="11676" max="11676" width="7.7109375" style="1" bestFit="1" customWidth="1"/>
    <col min="11677" max="11678" width="8.42578125" style="1" customWidth="1"/>
    <col min="11679" max="11679" width="8.5703125" style="1" customWidth="1"/>
    <col min="11680" max="11681" width="8.7109375" style="1" customWidth="1"/>
    <col min="11682" max="11682" width="58.5703125" style="1" customWidth="1"/>
    <col min="11683" max="11683" width="16.5703125" style="1" customWidth="1"/>
    <col min="11684" max="11684" width="5" style="1" customWidth="1"/>
    <col min="11685" max="11687" width="6" style="1" customWidth="1"/>
    <col min="11688" max="11688" width="12.42578125" style="1" bestFit="1" customWidth="1"/>
    <col min="11689" max="11689" width="9.140625" style="1"/>
    <col min="11690" max="11690" width="12.42578125" style="1" bestFit="1" customWidth="1"/>
    <col min="11691" max="11926" width="9.140625" style="1"/>
    <col min="11927" max="11927" width="3.7109375" style="1" customWidth="1"/>
    <col min="11928" max="11928" width="4.7109375" style="1" customWidth="1"/>
    <col min="11929" max="11929" width="6.42578125" style="1" customWidth="1"/>
    <col min="11930" max="11930" width="7.28515625" style="1" customWidth="1"/>
    <col min="11931" max="11931" width="9.7109375" style="1" customWidth="1"/>
    <col min="11932" max="11932" width="7.7109375" style="1" bestFit="1" customWidth="1"/>
    <col min="11933" max="11934" width="8.42578125" style="1" customWidth="1"/>
    <col min="11935" max="11935" width="8.5703125" style="1" customWidth="1"/>
    <col min="11936" max="11937" width="8.7109375" style="1" customWidth="1"/>
    <col min="11938" max="11938" width="58.5703125" style="1" customWidth="1"/>
    <col min="11939" max="11939" width="16.5703125" style="1" customWidth="1"/>
    <col min="11940" max="11940" width="5" style="1" customWidth="1"/>
    <col min="11941" max="11943" width="6" style="1" customWidth="1"/>
    <col min="11944" max="11944" width="12.42578125" style="1" bestFit="1" customWidth="1"/>
    <col min="11945" max="11945" width="9.140625" style="1"/>
    <col min="11946" max="11946" width="12.42578125" style="1" bestFit="1" customWidth="1"/>
    <col min="11947" max="12182" width="9.140625" style="1"/>
    <col min="12183" max="12183" width="3.7109375" style="1" customWidth="1"/>
    <col min="12184" max="12184" width="4.7109375" style="1" customWidth="1"/>
    <col min="12185" max="12185" width="6.42578125" style="1" customWidth="1"/>
    <col min="12186" max="12186" width="7.28515625" style="1" customWidth="1"/>
    <col min="12187" max="12187" width="9.7109375" style="1" customWidth="1"/>
    <col min="12188" max="12188" width="7.7109375" style="1" bestFit="1" customWidth="1"/>
    <col min="12189" max="12190" width="8.42578125" style="1" customWidth="1"/>
    <col min="12191" max="12191" width="8.5703125" style="1" customWidth="1"/>
    <col min="12192" max="12193" width="8.7109375" style="1" customWidth="1"/>
    <col min="12194" max="12194" width="58.5703125" style="1" customWidth="1"/>
    <col min="12195" max="12195" width="16.5703125" style="1" customWidth="1"/>
    <col min="12196" max="12196" width="5" style="1" customWidth="1"/>
    <col min="12197" max="12199" width="6" style="1" customWidth="1"/>
    <col min="12200" max="12200" width="12.42578125" style="1" bestFit="1" customWidth="1"/>
    <col min="12201" max="12201" width="9.140625" style="1"/>
    <col min="12202" max="12202" width="12.42578125" style="1" bestFit="1" customWidth="1"/>
    <col min="12203" max="12438" width="9.140625" style="1"/>
    <col min="12439" max="12439" width="3.7109375" style="1" customWidth="1"/>
    <col min="12440" max="12440" width="4.7109375" style="1" customWidth="1"/>
    <col min="12441" max="12441" width="6.42578125" style="1" customWidth="1"/>
    <col min="12442" max="12442" width="7.28515625" style="1" customWidth="1"/>
    <col min="12443" max="12443" width="9.7109375" style="1" customWidth="1"/>
    <col min="12444" max="12444" width="7.7109375" style="1" bestFit="1" customWidth="1"/>
    <col min="12445" max="12446" width="8.42578125" style="1" customWidth="1"/>
    <col min="12447" max="12447" width="8.5703125" style="1" customWidth="1"/>
    <col min="12448" max="12449" width="8.7109375" style="1" customWidth="1"/>
    <col min="12450" max="12450" width="58.5703125" style="1" customWidth="1"/>
    <col min="12451" max="12451" width="16.5703125" style="1" customWidth="1"/>
    <col min="12452" max="12452" width="5" style="1" customWidth="1"/>
    <col min="12453" max="12455" width="6" style="1" customWidth="1"/>
    <col min="12456" max="12456" width="12.42578125" style="1" bestFit="1" customWidth="1"/>
    <col min="12457" max="12457" width="9.140625" style="1"/>
    <col min="12458" max="12458" width="12.42578125" style="1" bestFit="1" customWidth="1"/>
    <col min="12459" max="12694" width="9.140625" style="1"/>
    <col min="12695" max="12695" width="3.7109375" style="1" customWidth="1"/>
    <col min="12696" max="12696" width="4.7109375" style="1" customWidth="1"/>
    <col min="12697" max="12697" width="6.42578125" style="1" customWidth="1"/>
    <col min="12698" max="12698" width="7.28515625" style="1" customWidth="1"/>
    <col min="12699" max="12699" width="9.7109375" style="1" customWidth="1"/>
    <col min="12700" max="12700" width="7.7109375" style="1" bestFit="1" customWidth="1"/>
    <col min="12701" max="12702" width="8.42578125" style="1" customWidth="1"/>
    <col min="12703" max="12703" width="8.5703125" style="1" customWidth="1"/>
    <col min="12704" max="12705" width="8.7109375" style="1" customWidth="1"/>
    <col min="12706" max="12706" width="58.5703125" style="1" customWidth="1"/>
    <col min="12707" max="12707" width="16.5703125" style="1" customWidth="1"/>
    <col min="12708" max="12708" width="5" style="1" customWidth="1"/>
    <col min="12709" max="12711" width="6" style="1" customWidth="1"/>
    <col min="12712" max="12712" width="12.42578125" style="1" bestFit="1" customWidth="1"/>
    <col min="12713" max="12713" width="9.140625" style="1"/>
    <col min="12714" max="12714" width="12.42578125" style="1" bestFit="1" customWidth="1"/>
    <col min="12715" max="12950" width="9.140625" style="1"/>
    <col min="12951" max="12951" width="3.7109375" style="1" customWidth="1"/>
    <col min="12952" max="12952" width="4.7109375" style="1" customWidth="1"/>
    <col min="12953" max="12953" width="6.42578125" style="1" customWidth="1"/>
    <col min="12954" max="12954" width="7.28515625" style="1" customWidth="1"/>
    <col min="12955" max="12955" width="9.7109375" style="1" customWidth="1"/>
    <col min="12956" max="12956" width="7.7109375" style="1" bestFit="1" customWidth="1"/>
    <col min="12957" max="12958" width="8.42578125" style="1" customWidth="1"/>
    <col min="12959" max="12959" width="8.5703125" style="1" customWidth="1"/>
    <col min="12960" max="12961" width="8.7109375" style="1" customWidth="1"/>
    <col min="12962" max="12962" width="58.5703125" style="1" customWidth="1"/>
    <col min="12963" max="12963" width="16.5703125" style="1" customWidth="1"/>
    <col min="12964" max="12964" width="5" style="1" customWidth="1"/>
    <col min="12965" max="12967" width="6" style="1" customWidth="1"/>
    <col min="12968" max="12968" width="12.42578125" style="1" bestFit="1" customWidth="1"/>
    <col min="12969" max="12969" width="9.140625" style="1"/>
    <col min="12970" max="12970" width="12.42578125" style="1" bestFit="1" customWidth="1"/>
    <col min="12971" max="13206" width="9.140625" style="1"/>
    <col min="13207" max="13207" width="3.7109375" style="1" customWidth="1"/>
    <col min="13208" max="13208" width="4.7109375" style="1" customWidth="1"/>
    <col min="13209" max="13209" width="6.42578125" style="1" customWidth="1"/>
    <col min="13210" max="13210" width="7.28515625" style="1" customWidth="1"/>
    <col min="13211" max="13211" width="9.7109375" style="1" customWidth="1"/>
    <col min="13212" max="13212" width="7.7109375" style="1" bestFit="1" customWidth="1"/>
    <col min="13213" max="13214" width="8.42578125" style="1" customWidth="1"/>
    <col min="13215" max="13215" width="8.5703125" style="1" customWidth="1"/>
    <col min="13216" max="13217" width="8.7109375" style="1" customWidth="1"/>
    <col min="13218" max="13218" width="58.5703125" style="1" customWidth="1"/>
    <col min="13219" max="13219" width="16.5703125" style="1" customWidth="1"/>
    <col min="13220" max="13220" width="5" style="1" customWidth="1"/>
    <col min="13221" max="13223" width="6" style="1" customWidth="1"/>
    <col min="13224" max="13224" width="12.42578125" style="1" bestFit="1" customWidth="1"/>
    <col min="13225" max="13225" width="9.140625" style="1"/>
    <col min="13226" max="13226" width="12.42578125" style="1" bestFit="1" customWidth="1"/>
    <col min="13227" max="13462" width="9.140625" style="1"/>
    <col min="13463" max="13463" width="3.7109375" style="1" customWidth="1"/>
    <col min="13464" max="13464" width="4.7109375" style="1" customWidth="1"/>
    <col min="13465" max="13465" width="6.42578125" style="1" customWidth="1"/>
    <col min="13466" max="13466" width="7.28515625" style="1" customWidth="1"/>
    <col min="13467" max="13467" width="9.7109375" style="1" customWidth="1"/>
    <col min="13468" max="13468" width="7.7109375" style="1" bestFit="1" customWidth="1"/>
    <col min="13469" max="13470" width="8.42578125" style="1" customWidth="1"/>
    <col min="13471" max="13471" width="8.5703125" style="1" customWidth="1"/>
    <col min="13472" max="13473" width="8.7109375" style="1" customWidth="1"/>
    <col min="13474" max="13474" width="58.5703125" style="1" customWidth="1"/>
    <col min="13475" max="13475" width="16.5703125" style="1" customWidth="1"/>
    <col min="13476" max="13476" width="5" style="1" customWidth="1"/>
    <col min="13477" max="13479" width="6" style="1" customWidth="1"/>
    <col min="13480" max="13480" width="12.42578125" style="1" bestFit="1" customWidth="1"/>
    <col min="13481" max="13481" width="9.140625" style="1"/>
    <col min="13482" max="13482" width="12.42578125" style="1" bestFit="1" customWidth="1"/>
    <col min="13483" max="13718" width="9.140625" style="1"/>
    <col min="13719" max="13719" width="3.7109375" style="1" customWidth="1"/>
    <col min="13720" max="13720" width="4.7109375" style="1" customWidth="1"/>
    <col min="13721" max="13721" width="6.42578125" style="1" customWidth="1"/>
    <col min="13722" max="13722" width="7.28515625" style="1" customWidth="1"/>
    <col min="13723" max="13723" width="9.7109375" style="1" customWidth="1"/>
    <col min="13724" max="13724" width="7.7109375" style="1" bestFit="1" customWidth="1"/>
    <col min="13725" max="13726" width="8.42578125" style="1" customWidth="1"/>
    <col min="13727" max="13727" width="8.5703125" style="1" customWidth="1"/>
    <col min="13728" max="13729" width="8.7109375" style="1" customWidth="1"/>
    <col min="13730" max="13730" width="58.5703125" style="1" customWidth="1"/>
    <col min="13731" max="13731" width="16.5703125" style="1" customWidth="1"/>
    <col min="13732" max="13732" width="5" style="1" customWidth="1"/>
    <col min="13733" max="13735" width="6" style="1" customWidth="1"/>
    <col min="13736" max="13736" width="12.42578125" style="1" bestFit="1" customWidth="1"/>
    <col min="13737" max="13737" width="9.140625" style="1"/>
    <col min="13738" max="13738" width="12.42578125" style="1" bestFit="1" customWidth="1"/>
    <col min="13739" max="13974" width="9.140625" style="1"/>
    <col min="13975" max="13975" width="3.7109375" style="1" customWidth="1"/>
    <col min="13976" max="13976" width="4.7109375" style="1" customWidth="1"/>
    <col min="13977" max="13977" width="6.42578125" style="1" customWidth="1"/>
    <col min="13978" max="13978" width="7.28515625" style="1" customWidth="1"/>
    <col min="13979" max="13979" width="9.7109375" style="1" customWidth="1"/>
    <col min="13980" max="13980" width="7.7109375" style="1" bestFit="1" customWidth="1"/>
    <col min="13981" max="13982" width="8.42578125" style="1" customWidth="1"/>
    <col min="13983" max="13983" width="8.5703125" style="1" customWidth="1"/>
    <col min="13984" max="13985" width="8.7109375" style="1" customWidth="1"/>
    <col min="13986" max="13986" width="58.5703125" style="1" customWidth="1"/>
    <col min="13987" max="13987" width="16.5703125" style="1" customWidth="1"/>
    <col min="13988" max="13988" width="5" style="1" customWidth="1"/>
    <col min="13989" max="13991" width="6" style="1" customWidth="1"/>
    <col min="13992" max="13992" width="12.42578125" style="1" bestFit="1" customWidth="1"/>
    <col min="13993" max="13993" width="9.140625" style="1"/>
    <col min="13994" max="13994" width="12.42578125" style="1" bestFit="1" customWidth="1"/>
    <col min="13995" max="14230" width="9.140625" style="1"/>
    <col min="14231" max="14231" width="3.7109375" style="1" customWidth="1"/>
    <col min="14232" max="14232" width="4.7109375" style="1" customWidth="1"/>
    <col min="14233" max="14233" width="6.42578125" style="1" customWidth="1"/>
    <col min="14234" max="14234" width="7.28515625" style="1" customWidth="1"/>
    <col min="14235" max="14235" width="9.7109375" style="1" customWidth="1"/>
    <col min="14236" max="14236" width="7.7109375" style="1" bestFit="1" customWidth="1"/>
    <col min="14237" max="14238" width="8.42578125" style="1" customWidth="1"/>
    <col min="14239" max="14239" width="8.5703125" style="1" customWidth="1"/>
    <col min="14240" max="14241" width="8.7109375" style="1" customWidth="1"/>
    <col min="14242" max="14242" width="58.5703125" style="1" customWidth="1"/>
    <col min="14243" max="14243" width="16.5703125" style="1" customWidth="1"/>
    <col min="14244" max="14244" width="5" style="1" customWidth="1"/>
    <col min="14245" max="14247" width="6" style="1" customWidth="1"/>
    <col min="14248" max="14248" width="12.42578125" style="1" bestFit="1" customWidth="1"/>
    <col min="14249" max="14249" width="9.140625" style="1"/>
    <col min="14250" max="14250" width="12.42578125" style="1" bestFit="1" customWidth="1"/>
    <col min="14251" max="14486" width="9.140625" style="1"/>
    <col min="14487" max="14487" width="3.7109375" style="1" customWidth="1"/>
    <col min="14488" max="14488" width="4.7109375" style="1" customWidth="1"/>
    <col min="14489" max="14489" width="6.42578125" style="1" customWidth="1"/>
    <col min="14490" max="14490" width="7.28515625" style="1" customWidth="1"/>
    <col min="14491" max="14491" width="9.7109375" style="1" customWidth="1"/>
    <col min="14492" max="14492" width="7.7109375" style="1" bestFit="1" customWidth="1"/>
    <col min="14493" max="14494" width="8.42578125" style="1" customWidth="1"/>
    <col min="14495" max="14495" width="8.5703125" style="1" customWidth="1"/>
    <col min="14496" max="14497" width="8.7109375" style="1" customWidth="1"/>
    <col min="14498" max="14498" width="58.5703125" style="1" customWidth="1"/>
    <col min="14499" max="14499" width="16.5703125" style="1" customWidth="1"/>
    <col min="14500" max="14500" width="5" style="1" customWidth="1"/>
    <col min="14501" max="14503" width="6" style="1" customWidth="1"/>
    <col min="14504" max="14504" width="12.42578125" style="1" bestFit="1" customWidth="1"/>
    <col min="14505" max="14505" width="9.140625" style="1"/>
    <col min="14506" max="14506" width="12.42578125" style="1" bestFit="1" customWidth="1"/>
    <col min="14507" max="14742" width="9.140625" style="1"/>
    <col min="14743" max="14743" width="3.7109375" style="1" customWidth="1"/>
    <col min="14744" max="14744" width="4.7109375" style="1" customWidth="1"/>
    <col min="14745" max="14745" width="6.42578125" style="1" customWidth="1"/>
    <col min="14746" max="14746" width="7.28515625" style="1" customWidth="1"/>
    <col min="14747" max="14747" width="9.7109375" style="1" customWidth="1"/>
    <col min="14748" max="14748" width="7.7109375" style="1" bestFit="1" customWidth="1"/>
    <col min="14749" max="14750" width="8.42578125" style="1" customWidth="1"/>
    <col min="14751" max="14751" width="8.5703125" style="1" customWidth="1"/>
    <col min="14752" max="14753" width="8.7109375" style="1" customWidth="1"/>
    <col min="14754" max="14754" width="58.5703125" style="1" customWidth="1"/>
    <col min="14755" max="14755" width="16.5703125" style="1" customWidth="1"/>
    <col min="14756" max="14756" width="5" style="1" customWidth="1"/>
    <col min="14757" max="14759" width="6" style="1" customWidth="1"/>
    <col min="14760" max="14760" width="12.42578125" style="1" bestFit="1" customWidth="1"/>
    <col min="14761" max="14761" width="9.140625" style="1"/>
    <col min="14762" max="14762" width="12.42578125" style="1" bestFit="1" customWidth="1"/>
    <col min="14763" max="14998" width="9.140625" style="1"/>
    <col min="14999" max="14999" width="3.7109375" style="1" customWidth="1"/>
    <col min="15000" max="15000" width="4.7109375" style="1" customWidth="1"/>
    <col min="15001" max="15001" width="6.42578125" style="1" customWidth="1"/>
    <col min="15002" max="15002" width="7.28515625" style="1" customWidth="1"/>
    <col min="15003" max="15003" width="9.7109375" style="1" customWidth="1"/>
    <col min="15004" max="15004" width="7.7109375" style="1" bestFit="1" customWidth="1"/>
    <col min="15005" max="15006" width="8.42578125" style="1" customWidth="1"/>
    <col min="15007" max="15007" width="8.5703125" style="1" customWidth="1"/>
    <col min="15008" max="15009" width="8.7109375" style="1" customWidth="1"/>
    <col min="15010" max="15010" width="58.5703125" style="1" customWidth="1"/>
    <col min="15011" max="15011" width="16.5703125" style="1" customWidth="1"/>
    <col min="15012" max="15012" width="5" style="1" customWidth="1"/>
    <col min="15013" max="15015" width="6" style="1" customWidth="1"/>
    <col min="15016" max="15016" width="12.42578125" style="1" bestFit="1" customWidth="1"/>
    <col min="15017" max="15017" width="9.140625" style="1"/>
    <col min="15018" max="15018" width="12.42578125" style="1" bestFit="1" customWidth="1"/>
    <col min="15019" max="15254" width="9.140625" style="1"/>
    <col min="15255" max="15255" width="3.7109375" style="1" customWidth="1"/>
    <col min="15256" max="15256" width="4.7109375" style="1" customWidth="1"/>
    <col min="15257" max="15257" width="6.42578125" style="1" customWidth="1"/>
    <col min="15258" max="15258" width="7.28515625" style="1" customWidth="1"/>
    <col min="15259" max="15259" width="9.7109375" style="1" customWidth="1"/>
    <col min="15260" max="15260" width="7.7109375" style="1" bestFit="1" customWidth="1"/>
    <col min="15261" max="15262" width="8.42578125" style="1" customWidth="1"/>
    <col min="15263" max="15263" width="8.5703125" style="1" customWidth="1"/>
    <col min="15264" max="15265" width="8.7109375" style="1" customWidth="1"/>
    <col min="15266" max="15266" width="58.5703125" style="1" customWidth="1"/>
    <col min="15267" max="15267" width="16.5703125" style="1" customWidth="1"/>
    <col min="15268" max="15268" width="5" style="1" customWidth="1"/>
    <col min="15269" max="15271" width="6" style="1" customWidth="1"/>
    <col min="15272" max="15272" width="12.42578125" style="1" bestFit="1" customWidth="1"/>
    <col min="15273" max="15273" width="9.140625" style="1"/>
    <col min="15274" max="15274" width="12.42578125" style="1" bestFit="1" customWidth="1"/>
    <col min="15275" max="15510" width="9.140625" style="1"/>
    <col min="15511" max="15511" width="3.7109375" style="1" customWidth="1"/>
    <col min="15512" max="15512" width="4.7109375" style="1" customWidth="1"/>
    <col min="15513" max="15513" width="6.42578125" style="1" customWidth="1"/>
    <col min="15514" max="15514" width="7.28515625" style="1" customWidth="1"/>
    <col min="15515" max="15515" width="9.7109375" style="1" customWidth="1"/>
    <col min="15516" max="15516" width="7.7109375" style="1" bestFit="1" customWidth="1"/>
    <col min="15517" max="15518" width="8.42578125" style="1" customWidth="1"/>
    <col min="15519" max="15519" width="8.5703125" style="1" customWidth="1"/>
    <col min="15520" max="15521" width="8.7109375" style="1" customWidth="1"/>
    <col min="15522" max="15522" width="58.5703125" style="1" customWidth="1"/>
    <col min="15523" max="15523" width="16.5703125" style="1" customWidth="1"/>
    <col min="15524" max="15524" width="5" style="1" customWidth="1"/>
    <col min="15525" max="15527" width="6" style="1" customWidth="1"/>
    <col min="15528" max="15528" width="12.42578125" style="1" bestFit="1" customWidth="1"/>
    <col min="15529" max="15529" width="9.140625" style="1"/>
    <col min="15530" max="15530" width="12.42578125" style="1" bestFit="1" customWidth="1"/>
    <col min="15531" max="15766" width="9.140625" style="1"/>
    <col min="15767" max="15767" width="3.7109375" style="1" customWidth="1"/>
    <col min="15768" max="15768" width="4.7109375" style="1" customWidth="1"/>
    <col min="15769" max="15769" width="6.42578125" style="1" customWidth="1"/>
    <col min="15770" max="15770" width="7.28515625" style="1" customWidth="1"/>
    <col min="15771" max="15771" width="9.7109375" style="1" customWidth="1"/>
    <col min="15772" max="15772" width="7.7109375" style="1" bestFit="1" customWidth="1"/>
    <col min="15773" max="15774" width="8.42578125" style="1" customWidth="1"/>
    <col min="15775" max="15775" width="8.5703125" style="1" customWidth="1"/>
    <col min="15776" max="15777" width="8.7109375" style="1" customWidth="1"/>
    <col min="15778" max="15778" width="58.5703125" style="1" customWidth="1"/>
    <col min="15779" max="15779" width="16.5703125" style="1" customWidth="1"/>
    <col min="15780" max="15780" width="5" style="1" customWidth="1"/>
    <col min="15781" max="15783" width="6" style="1" customWidth="1"/>
    <col min="15784" max="15784" width="12.42578125" style="1" bestFit="1" customWidth="1"/>
    <col min="15785" max="15785" width="9.140625" style="1"/>
    <col min="15786" max="15786" width="12.42578125" style="1" bestFit="1" customWidth="1"/>
    <col min="15787" max="16022" width="9.140625" style="1"/>
    <col min="16023" max="16023" width="3.7109375" style="1" customWidth="1"/>
    <col min="16024" max="16024" width="4.7109375" style="1" customWidth="1"/>
    <col min="16025" max="16025" width="6.42578125" style="1" customWidth="1"/>
    <col min="16026" max="16026" width="7.28515625" style="1" customWidth="1"/>
    <col min="16027" max="16027" width="9.7109375" style="1" customWidth="1"/>
    <col min="16028" max="16028" width="7.7109375" style="1" bestFit="1" customWidth="1"/>
    <col min="16029" max="16030" width="8.42578125" style="1" customWidth="1"/>
    <col min="16031" max="16031" width="8.5703125" style="1" customWidth="1"/>
    <col min="16032" max="16033" width="8.7109375" style="1" customWidth="1"/>
    <col min="16034" max="16034" width="58.5703125" style="1" customWidth="1"/>
    <col min="16035" max="16035" width="16.5703125" style="1" customWidth="1"/>
    <col min="16036" max="16036" width="5" style="1" customWidth="1"/>
    <col min="16037" max="16039" width="6" style="1" customWidth="1"/>
    <col min="16040" max="16040" width="12.42578125" style="1" bestFit="1" customWidth="1"/>
    <col min="16041" max="16041" width="9.140625" style="1"/>
    <col min="16042" max="16042" width="12.42578125" style="1" bestFit="1" customWidth="1"/>
    <col min="16043" max="16384" width="9.140625" style="1"/>
  </cols>
  <sheetData>
    <row r="1" spans="1:1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5" ht="25.5" customHeight="1">
      <c r="A2" s="39" t="s">
        <v>11</v>
      </c>
      <c r="B2" s="39" t="s">
        <v>12</v>
      </c>
      <c r="C2" s="39" t="s">
        <v>493</v>
      </c>
      <c r="D2" s="39" t="s">
        <v>494</v>
      </c>
      <c r="E2" s="39" t="s">
        <v>2</v>
      </c>
      <c r="F2" s="39"/>
      <c r="G2" s="39"/>
      <c r="H2" s="39" t="s">
        <v>3</v>
      </c>
      <c r="I2" s="39" t="s">
        <v>4</v>
      </c>
      <c r="J2" s="39" t="s">
        <v>5</v>
      </c>
      <c r="K2" s="39"/>
      <c r="L2" s="39" t="s">
        <v>6</v>
      </c>
      <c r="M2" s="39" t="s">
        <v>0</v>
      </c>
    </row>
    <row r="3" spans="1:15" ht="20.25" customHeight="1">
      <c r="A3" s="39"/>
      <c r="B3" s="39"/>
      <c r="C3" s="39"/>
      <c r="D3" s="39"/>
      <c r="E3" s="6" t="s">
        <v>1</v>
      </c>
      <c r="F3" s="6" t="s">
        <v>7</v>
      </c>
      <c r="G3" s="6" t="s">
        <v>8</v>
      </c>
      <c r="H3" s="39"/>
      <c r="I3" s="39"/>
      <c r="J3" s="6" t="s">
        <v>9</v>
      </c>
      <c r="K3" s="6" t="s">
        <v>10</v>
      </c>
      <c r="L3" s="39"/>
      <c r="M3" s="39"/>
    </row>
    <row r="4" spans="1:15" ht="16.5" customHeight="1">
      <c r="A4" s="7">
        <v>1</v>
      </c>
      <c r="B4" s="8">
        <v>11</v>
      </c>
      <c r="C4" s="8">
        <v>1</v>
      </c>
      <c r="D4" s="8">
        <v>1</v>
      </c>
      <c r="E4" s="8">
        <v>2445</v>
      </c>
      <c r="F4" s="9">
        <v>87</v>
      </c>
      <c r="G4" s="9">
        <v>2</v>
      </c>
      <c r="H4" s="7">
        <f>37+90</f>
        <v>127</v>
      </c>
      <c r="I4" s="9">
        <f t="shared" ref="I4:I35" si="0">(K4-J4+1)*24</f>
        <v>144</v>
      </c>
      <c r="J4" s="10">
        <v>45623</v>
      </c>
      <c r="K4" s="10">
        <v>45628</v>
      </c>
      <c r="L4" s="11" t="s">
        <v>30</v>
      </c>
      <c r="M4" s="12">
        <f t="shared" ref="M4:M12" si="1">H4*154144.61</f>
        <v>19576365.469999999</v>
      </c>
    </row>
    <row r="5" spans="1:15">
      <c r="A5" s="7">
        <v>2</v>
      </c>
      <c r="B5" s="7">
        <v>7</v>
      </c>
      <c r="C5" s="8">
        <v>1</v>
      </c>
      <c r="D5" s="8">
        <v>1</v>
      </c>
      <c r="E5" s="7">
        <v>9891</v>
      </c>
      <c r="F5" s="9">
        <v>55</v>
      </c>
      <c r="G5" s="9">
        <v>8</v>
      </c>
      <c r="H5" s="7">
        <f>234+90</f>
        <v>324</v>
      </c>
      <c r="I5" s="9">
        <f t="shared" si="0"/>
        <v>504</v>
      </c>
      <c r="J5" s="13">
        <v>45637</v>
      </c>
      <c r="K5" s="10">
        <v>45657</v>
      </c>
      <c r="L5" s="14" t="s">
        <v>22</v>
      </c>
      <c r="M5" s="12">
        <f t="shared" si="1"/>
        <v>49942853.639999993</v>
      </c>
    </row>
    <row r="6" spans="1:15">
      <c r="A6" s="7">
        <v>3</v>
      </c>
      <c r="B6" s="7">
        <v>3</v>
      </c>
      <c r="C6" s="8">
        <v>1</v>
      </c>
      <c r="D6" s="8">
        <v>1</v>
      </c>
      <c r="E6" s="7">
        <v>5863</v>
      </c>
      <c r="F6" s="8" t="s">
        <v>14</v>
      </c>
      <c r="G6" s="8" t="s">
        <v>15</v>
      </c>
      <c r="H6" s="7">
        <f>221+39+82</f>
        <v>342</v>
      </c>
      <c r="I6" s="9">
        <f t="shared" si="0"/>
        <v>408</v>
      </c>
      <c r="J6" s="10">
        <v>45644</v>
      </c>
      <c r="K6" s="10">
        <v>45660</v>
      </c>
      <c r="L6" s="14" t="s">
        <v>19</v>
      </c>
      <c r="M6" s="12">
        <f t="shared" si="1"/>
        <v>52717456.619999997</v>
      </c>
    </row>
    <row r="7" spans="1:15" ht="16.5" customHeight="1">
      <c r="A7" s="7">
        <v>4</v>
      </c>
      <c r="B7" s="7">
        <v>5</v>
      </c>
      <c r="C7" s="8">
        <v>1</v>
      </c>
      <c r="D7" s="8">
        <v>1</v>
      </c>
      <c r="E7" s="7">
        <v>3577</v>
      </c>
      <c r="F7" s="8" t="s">
        <v>14</v>
      </c>
      <c r="G7" s="8" t="s">
        <v>15</v>
      </c>
      <c r="H7" s="7">
        <f>221+39+82</f>
        <v>342</v>
      </c>
      <c r="I7" s="9">
        <f t="shared" si="0"/>
        <v>312</v>
      </c>
      <c r="J7" s="10">
        <v>45650</v>
      </c>
      <c r="K7" s="10">
        <v>45662</v>
      </c>
      <c r="L7" s="14" t="s">
        <v>19</v>
      </c>
      <c r="M7" s="12">
        <f t="shared" si="1"/>
        <v>52717456.619999997</v>
      </c>
    </row>
    <row r="8" spans="1:15" ht="16.5" customHeight="1">
      <c r="A8" s="7">
        <v>5</v>
      </c>
      <c r="B8" s="15">
        <v>36</v>
      </c>
      <c r="C8" s="8">
        <v>1</v>
      </c>
      <c r="D8" s="8">
        <v>1</v>
      </c>
      <c r="E8" s="7">
        <v>3596</v>
      </c>
      <c r="F8" s="8" t="s">
        <v>27</v>
      </c>
      <c r="G8" s="8" t="s">
        <v>15</v>
      </c>
      <c r="H8" s="7">
        <f>140+39+29+82</f>
        <v>290</v>
      </c>
      <c r="I8" s="9">
        <f t="shared" si="0"/>
        <v>240</v>
      </c>
      <c r="J8" s="10">
        <v>45653</v>
      </c>
      <c r="K8" s="10">
        <v>45662</v>
      </c>
      <c r="L8" s="14" t="s">
        <v>49</v>
      </c>
      <c r="M8" s="12">
        <f t="shared" si="1"/>
        <v>44701936.899999999</v>
      </c>
    </row>
    <row r="9" spans="1:15" ht="16.5" customHeight="1">
      <c r="A9" s="7">
        <v>6</v>
      </c>
      <c r="B9" s="15">
        <v>4</v>
      </c>
      <c r="C9" s="8">
        <v>1</v>
      </c>
      <c r="D9" s="8">
        <v>1</v>
      </c>
      <c r="E9" s="7">
        <v>4359</v>
      </c>
      <c r="F9" s="8" t="s">
        <v>14</v>
      </c>
      <c r="G9" s="8" t="s">
        <v>15</v>
      </c>
      <c r="H9" s="7">
        <f>221+29+137+77</f>
        <v>464</v>
      </c>
      <c r="I9" s="9">
        <f t="shared" si="0"/>
        <v>480</v>
      </c>
      <c r="J9" s="10">
        <v>45646</v>
      </c>
      <c r="K9" s="10">
        <v>45665</v>
      </c>
      <c r="L9" s="14" t="s">
        <v>173</v>
      </c>
      <c r="M9" s="12">
        <f t="shared" si="1"/>
        <v>71523099.039999992</v>
      </c>
    </row>
    <row r="10" spans="1:15">
      <c r="A10" s="7">
        <v>7</v>
      </c>
      <c r="B10" s="15">
        <v>10</v>
      </c>
      <c r="C10" s="8">
        <v>1</v>
      </c>
      <c r="D10" s="8">
        <v>1</v>
      </c>
      <c r="E10" s="7">
        <v>8807</v>
      </c>
      <c r="F10" s="7">
        <v>88</v>
      </c>
      <c r="G10" s="7">
        <v>2</v>
      </c>
      <c r="H10" s="7">
        <f>177+29+90</f>
        <v>296</v>
      </c>
      <c r="I10" s="9">
        <f t="shared" si="0"/>
        <v>312</v>
      </c>
      <c r="J10" s="10">
        <v>45655</v>
      </c>
      <c r="K10" s="10">
        <v>45667</v>
      </c>
      <c r="L10" s="11" t="s">
        <v>26</v>
      </c>
      <c r="M10" s="12">
        <f t="shared" si="1"/>
        <v>45626804.559999995</v>
      </c>
      <c r="N10" s="37"/>
      <c r="O10" s="37"/>
    </row>
    <row r="11" spans="1:15">
      <c r="A11" s="7">
        <v>8</v>
      </c>
      <c r="B11" s="15">
        <v>6</v>
      </c>
      <c r="C11" s="8">
        <v>1</v>
      </c>
      <c r="D11" s="8">
        <v>1</v>
      </c>
      <c r="E11" s="7">
        <v>6796</v>
      </c>
      <c r="F11" s="8" t="s">
        <v>23</v>
      </c>
      <c r="G11" s="8" t="s">
        <v>15</v>
      </c>
      <c r="H11" s="7">
        <f>221+39+29+82</f>
        <v>371</v>
      </c>
      <c r="I11" s="9">
        <f t="shared" si="0"/>
        <v>552</v>
      </c>
      <c r="J11" s="10">
        <v>45648</v>
      </c>
      <c r="K11" s="10">
        <v>45670</v>
      </c>
      <c r="L11" s="14" t="s">
        <v>21</v>
      </c>
      <c r="M11" s="12">
        <f t="shared" si="1"/>
        <v>57187650.309999995</v>
      </c>
      <c r="N11" s="5"/>
      <c r="O11" s="5"/>
    </row>
    <row r="12" spans="1:15">
      <c r="A12" s="7">
        <v>9</v>
      </c>
      <c r="B12" s="15">
        <v>9</v>
      </c>
      <c r="C12" s="8">
        <v>1</v>
      </c>
      <c r="D12" s="8">
        <v>1</v>
      </c>
      <c r="E12" s="7">
        <v>9719</v>
      </c>
      <c r="F12" s="7">
        <v>89</v>
      </c>
      <c r="G12" s="7">
        <v>2</v>
      </c>
      <c r="H12" s="7">
        <f>29+90</f>
        <v>119</v>
      </c>
      <c r="I12" s="9">
        <f t="shared" si="0"/>
        <v>168</v>
      </c>
      <c r="J12" s="10">
        <v>45670</v>
      </c>
      <c r="K12" s="10">
        <v>45676</v>
      </c>
      <c r="L12" s="11" t="s">
        <v>16</v>
      </c>
      <c r="M12" s="12">
        <f t="shared" si="1"/>
        <v>18343208.59</v>
      </c>
      <c r="N12" s="5"/>
      <c r="O12" s="5"/>
    </row>
    <row r="13" spans="1:15">
      <c r="A13" s="7">
        <v>10</v>
      </c>
      <c r="B13" s="15">
        <v>2</v>
      </c>
      <c r="C13" s="8">
        <v>1</v>
      </c>
      <c r="D13" s="8">
        <v>1</v>
      </c>
      <c r="E13" s="7">
        <v>9086</v>
      </c>
      <c r="F13" s="8" t="s">
        <v>14</v>
      </c>
      <c r="G13" s="8" t="s">
        <v>15</v>
      </c>
      <c r="H13" s="7">
        <f>177+39+82</f>
        <v>298</v>
      </c>
      <c r="I13" s="9">
        <f t="shared" si="0"/>
        <v>360</v>
      </c>
      <c r="J13" s="10">
        <v>45667</v>
      </c>
      <c r="K13" s="10">
        <v>45681</v>
      </c>
      <c r="L13" s="11" t="s">
        <v>52</v>
      </c>
      <c r="M13" s="12">
        <f>H13*154144.61-80000</f>
        <v>45855093.779999994</v>
      </c>
      <c r="N13" s="5"/>
      <c r="O13" s="5"/>
    </row>
    <row r="14" spans="1:15">
      <c r="A14" s="7">
        <v>11</v>
      </c>
      <c r="B14" s="15">
        <v>4</v>
      </c>
      <c r="C14" s="8">
        <v>1</v>
      </c>
      <c r="D14" s="8">
        <v>1</v>
      </c>
      <c r="E14" s="7">
        <v>2581</v>
      </c>
      <c r="F14" s="7">
        <v>88</v>
      </c>
      <c r="G14" s="7">
        <v>2</v>
      </c>
      <c r="H14" s="7">
        <f>37+39+90</f>
        <v>166</v>
      </c>
      <c r="I14" s="9">
        <f t="shared" si="0"/>
        <v>192</v>
      </c>
      <c r="J14" s="10">
        <v>45675</v>
      </c>
      <c r="K14" s="10">
        <v>45682</v>
      </c>
      <c r="L14" s="11" t="s">
        <v>53</v>
      </c>
      <c r="M14" s="12">
        <f>H14*154144.61</f>
        <v>25588005.259999998</v>
      </c>
      <c r="N14" s="5"/>
      <c r="O14" s="5"/>
    </row>
    <row r="15" spans="1:15">
      <c r="A15" s="7">
        <v>12</v>
      </c>
      <c r="B15" s="7">
        <v>6</v>
      </c>
      <c r="C15" s="8">
        <v>1</v>
      </c>
      <c r="D15" s="8">
        <v>1</v>
      </c>
      <c r="E15" s="7">
        <v>3301</v>
      </c>
      <c r="F15" s="8" t="s">
        <v>23</v>
      </c>
      <c r="G15" s="8" t="s">
        <v>15</v>
      </c>
      <c r="H15" s="7">
        <f>137+177+29+77</f>
        <v>420</v>
      </c>
      <c r="I15" s="9">
        <f t="shared" si="0"/>
        <v>312</v>
      </c>
      <c r="J15" s="10">
        <v>45671</v>
      </c>
      <c r="K15" s="10">
        <v>45683</v>
      </c>
      <c r="L15" s="11" t="s">
        <v>59</v>
      </c>
      <c r="M15" s="12">
        <f>H15*154144.61-108000</f>
        <v>64632736.199999996</v>
      </c>
      <c r="N15" s="5"/>
      <c r="O15" s="5"/>
    </row>
    <row r="16" spans="1:15">
      <c r="A16" s="7">
        <v>13</v>
      </c>
      <c r="B16" s="7">
        <v>7</v>
      </c>
      <c r="C16" s="8">
        <v>1</v>
      </c>
      <c r="D16" s="8">
        <v>1</v>
      </c>
      <c r="E16" s="7">
        <v>4221</v>
      </c>
      <c r="F16" s="8" t="s">
        <v>14</v>
      </c>
      <c r="G16" s="8" t="s">
        <v>15</v>
      </c>
      <c r="H16" s="7">
        <f>140+39+392+77</f>
        <v>648</v>
      </c>
      <c r="I16" s="9">
        <f t="shared" si="0"/>
        <v>648</v>
      </c>
      <c r="J16" s="10">
        <v>45658</v>
      </c>
      <c r="K16" s="10">
        <v>45684</v>
      </c>
      <c r="L16" s="11" t="s">
        <v>121</v>
      </c>
      <c r="M16" s="12">
        <f t="shared" ref="M16:M26" si="2">H16*154144.61</f>
        <v>99885707.279999986</v>
      </c>
      <c r="N16" s="5"/>
      <c r="O16" s="5"/>
    </row>
    <row r="17" spans="1:15">
      <c r="A17" s="7">
        <v>14</v>
      </c>
      <c r="B17" s="7">
        <v>9</v>
      </c>
      <c r="C17" s="8">
        <v>1</v>
      </c>
      <c r="D17" s="8">
        <v>1</v>
      </c>
      <c r="E17" s="7">
        <v>3821</v>
      </c>
      <c r="F17" s="8" t="s">
        <v>23</v>
      </c>
      <c r="G17" s="8" t="s">
        <v>15</v>
      </c>
      <c r="H17" s="7">
        <f>221+137+39+29+77</f>
        <v>503</v>
      </c>
      <c r="I17" s="9">
        <f t="shared" si="0"/>
        <v>288</v>
      </c>
      <c r="J17" s="10">
        <v>45677</v>
      </c>
      <c r="K17" s="10">
        <v>45688</v>
      </c>
      <c r="L17" s="11" t="s">
        <v>66</v>
      </c>
      <c r="M17" s="12">
        <f t="shared" si="2"/>
        <v>77534738.829999998</v>
      </c>
      <c r="N17" s="5"/>
      <c r="O17" s="5"/>
    </row>
    <row r="18" spans="1:15" ht="16.5" customHeight="1">
      <c r="A18" s="7">
        <v>15</v>
      </c>
      <c r="B18" s="7">
        <v>5</v>
      </c>
      <c r="C18" s="8">
        <v>1</v>
      </c>
      <c r="D18" s="8">
        <v>1</v>
      </c>
      <c r="E18" s="7">
        <v>5826</v>
      </c>
      <c r="F18" s="8">
        <v>83</v>
      </c>
      <c r="G18" s="8">
        <v>11</v>
      </c>
      <c r="H18" s="7">
        <f>37+39+234+39+90</f>
        <v>439</v>
      </c>
      <c r="I18" s="9">
        <f t="shared" si="0"/>
        <v>384</v>
      </c>
      <c r="J18" s="10">
        <v>45672</v>
      </c>
      <c r="K18" s="10">
        <v>45687</v>
      </c>
      <c r="L18" s="11" t="s">
        <v>60</v>
      </c>
      <c r="M18" s="12">
        <f t="shared" si="2"/>
        <v>67669483.789999992</v>
      </c>
    </row>
    <row r="19" spans="1:15" ht="19.5" customHeight="1">
      <c r="A19" s="7">
        <v>16</v>
      </c>
      <c r="B19" s="7">
        <v>11</v>
      </c>
      <c r="C19" s="8">
        <v>1</v>
      </c>
      <c r="D19" s="8">
        <v>1</v>
      </c>
      <c r="E19" s="7">
        <v>9171</v>
      </c>
      <c r="F19" s="8">
        <v>83</v>
      </c>
      <c r="G19" s="8">
        <v>11</v>
      </c>
      <c r="H19" s="7">
        <f>221+39+39+29+90</f>
        <v>418</v>
      </c>
      <c r="I19" s="9">
        <f t="shared" si="0"/>
        <v>888</v>
      </c>
      <c r="J19" s="10">
        <v>45651</v>
      </c>
      <c r="K19" s="10">
        <v>45687</v>
      </c>
      <c r="L19" s="11" t="s">
        <v>74</v>
      </c>
      <c r="M19" s="12">
        <f t="shared" si="2"/>
        <v>64432446.979999997</v>
      </c>
    </row>
    <row r="20" spans="1:15">
      <c r="A20" s="7">
        <v>17</v>
      </c>
      <c r="B20" s="15">
        <v>5</v>
      </c>
      <c r="C20" s="15">
        <v>1</v>
      </c>
      <c r="D20" s="15">
        <v>2</v>
      </c>
      <c r="E20" s="7">
        <v>6742</v>
      </c>
      <c r="F20" s="7">
        <v>89</v>
      </c>
      <c r="G20" s="7">
        <v>2</v>
      </c>
      <c r="H20" s="7">
        <f>29+90</f>
        <v>119</v>
      </c>
      <c r="I20" s="9">
        <f t="shared" si="0"/>
        <v>216</v>
      </c>
      <c r="J20" s="10">
        <v>45663</v>
      </c>
      <c r="K20" s="10">
        <v>45671</v>
      </c>
      <c r="L20" s="11" t="s">
        <v>16</v>
      </c>
      <c r="M20" s="12">
        <f t="shared" si="2"/>
        <v>18343208.59</v>
      </c>
    </row>
    <row r="21" spans="1:15">
      <c r="A21" s="7">
        <v>18</v>
      </c>
      <c r="B21" s="15">
        <v>4</v>
      </c>
      <c r="C21" s="15">
        <v>1</v>
      </c>
      <c r="D21" s="15">
        <v>2</v>
      </c>
      <c r="E21" s="7">
        <v>8862</v>
      </c>
      <c r="F21" s="7">
        <v>57</v>
      </c>
      <c r="G21" s="7">
        <v>8</v>
      </c>
      <c r="H21" s="7">
        <f>177+39+45+90</f>
        <v>351</v>
      </c>
      <c r="I21" s="9">
        <f t="shared" si="0"/>
        <v>216</v>
      </c>
      <c r="J21" s="10">
        <v>45666</v>
      </c>
      <c r="K21" s="10">
        <v>45674</v>
      </c>
      <c r="L21" s="11" t="s">
        <v>116</v>
      </c>
      <c r="M21" s="12">
        <f t="shared" si="2"/>
        <v>54104758.109999992</v>
      </c>
    </row>
    <row r="22" spans="1:15" ht="15.75" customHeight="1">
      <c r="A22" s="7">
        <v>19</v>
      </c>
      <c r="B22" s="7">
        <v>3</v>
      </c>
      <c r="C22" s="15">
        <v>1</v>
      </c>
      <c r="D22" s="15">
        <v>2</v>
      </c>
      <c r="E22" s="7">
        <v>8938</v>
      </c>
      <c r="F22" s="7">
        <v>93</v>
      </c>
      <c r="G22" s="7">
        <v>8</v>
      </c>
      <c r="H22" s="7">
        <f>234+39+90</f>
        <v>363</v>
      </c>
      <c r="I22" s="15">
        <f t="shared" si="0"/>
        <v>336</v>
      </c>
      <c r="J22" s="10">
        <v>45679</v>
      </c>
      <c r="K22" s="10">
        <v>45692</v>
      </c>
      <c r="L22" s="27" t="s">
        <v>115</v>
      </c>
      <c r="M22" s="12">
        <f t="shared" si="2"/>
        <v>55954493.429999992</v>
      </c>
    </row>
    <row r="23" spans="1:15">
      <c r="A23" s="7">
        <v>20</v>
      </c>
      <c r="B23" s="7">
        <v>11</v>
      </c>
      <c r="C23" s="15">
        <v>1</v>
      </c>
      <c r="D23" s="15">
        <v>2</v>
      </c>
      <c r="E23" s="7">
        <v>5930</v>
      </c>
      <c r="F23" s="8" t="s">
        <v>23</v>
      </c>
      <c r="G23" s="8" t="s">
        <v>15</v>
      </c>
      <c r="H23" s="7">
        <f>39+137+77</f>
        <v>253</v>
      </c>
      <c r="I23" s="15">
        <f t="shared" si="0"/>
        <v>336</v>
      </c>
      <c r="J23" s="10">
        <v>45688</v>
      </c>
      <c r="K23" s="10">
        <v>45701</v>
      </c>
      <c r="L23" s="27" t="s">
        <v>77</v>
      </c>
      <c r="M23" s="12">
        <f t="shared" si="2"/>
        <v>38998586.329999998</v>
      </c>
    </row>
    <row r="24" spans="1:15">
      <c r="A24" s="7">
        <v>21</v>
      </c>
      <c r="B24" s="7">
        <v>36</v>
      </c>
      <c r="C24" s="15">
        <v>1</v>
      </c>
      <c r="D24" s="15">
        <v>2</v>
      </c>
      <c r="E24" s="7">
        <v>5894</v>
      </c>
      <c r="F24" s="7">
        <v>89</v>
      </c>
      <c r="G24" s="7">
        <v>2</v>
      </c>
      <c r="H24" s="7">
        <f>39+392+90</f>
        <v>521</v>
      </c>
      <c r="I24" s="15">
        <f t="shared" si="0"/>
        <v>1008</v>
      </c>
      <c r="J24" s="10">
        <v>45663</v>
      </c>
      <c r="K24" s="10">
        <v>45704</v>
      </c>
      <c r="L24" s="11" t="s">
        <v>117</v>
      </c>
      <c r="M24" s="12">
        <f t="shared" si="2"/>
        <v>80309341.809999987</v>
      </c>
    </row>
    <row r="25" spans="1:15">
      <c r="A25" s="7">
        <v>22</v>
      </c>
      <c r="B25" s="7">
        <v>1</v>
      </c>
      <c r="C25" s="15">
        <v>1</v>
      </c>
      <c r="D25" s="15">
        <v>2</v>
      </c>
      <c r="E25" s="7">
        <v>3275</v>
      </c>
      <c r="F25" s="7">
        <v>83</v>
      </c>
      <c r="G25" s="7">
        <v>11</v>
      </c>
      <c r="H25" s="7">
        <f>39+392+90</f>
        <v>521</v>
      </c>
      <c r="I25" s="15">
        <f t="shared" si="0"/>
        <v>1104</v>
      </c>
      <c r="J25" s="10">
        <v>45660</v>
      </c>
      <c r="K25" s="10">
        <v>45705</v>
      </c>
      <c r="L25" s="11" t="s">
        <v>117</v>
      </c>
      <c r="M25" s="12">
        <f t="shared" si="2"/>
        <v>80309341.809999987</v>
      </c>
    </row>
    <row r="26" spans="1:15">
      <c r="A26" s="7">
        <v>23</v>
      </c>
      <c r="B26" s="7">
        <v>5</v>
      </c>
      <c r="C26" s="15">
        <v>1</v>
      </c>
      <c r="D26" s="15">
        <v>2</v>
      </c>
      <c r="E26" s="7">
        <v>4119</v>
      </c>
      <c r="F26" s="7">
        <v>55</v>
      </c>
      <c r="G26" s="7">
        <v>8</v>
      </c>
      <c r="H26" s="7">
        <f>392+90</f>
        <v>482</v>
      </c>
      <c r="I26" s="15">
        <f t="shared" si="0"/>
        <v>456</v>
      </c>
      <c r="J26" s="10">
        <v>45688</v>
      </c>
      <c r="K26" s="10">
        <v>45706</v>
      </c>
      <c r="L26" s="11" t="s">
        <v>118</v>
      </c>
      <c r="M26" s="12">
        <f t="shared" si="2"/>
        <v>74297702.019999996</v>
      </c>
    </row>
    <row r="27" spans="1:15">
      <c r="A27" s="7">
        <v>24</v>
      </c>
      <c r="B27" s="7">
        <v>7</v>
      </c>
      <c r="C27" s="15">
        <v>1</v>
      </c>
      <c r="D27" s="15">
        <v>2</v>
      </c>
      <c r="E27" s="7">
        <v>1850</v>
      </c>
      <c r="F27" s="8" t="s">
        <v>89</v>
      </c>
      <c r="G27" s="8" t="s">
        <v>15</v>
      </c>
      <c r="H27" s="7">
        <f>137+39+77</f>
        <v>253</v>
      </c>
      <c r="I27" s="15">
        <f t="shared" si="0"/>
        <v>528</v>
      </c>
      <c r="J27" s="10">
        <v>45685</v>
      </c>
      <c r="K27" s="10">
        <v>45706</v>
      </c>
      <c r="L27" s="11" t="s">
        <v>119</v>
      </c>
      <c r="M27" s="12">
        <f>H27*154144.61-648000</f>
        <v>38350586.329999998</v>
      </c>
    </row>
    <row r="28" spans="1:15">
      <c r="A28" s="7">
        <v>25</v>
      </c>
      <c r="B28" s="7">
        <v>6</v>
      </c>
      <c r="C28" s="15">
        <v>1</v>
      </c>
      <c r="D28" s="15">
        <v>2</v>
      </c>
      <c r="E28" s="7">
        <v>6377</v>
      </c>
      <c r="F28" s="8" t="s">
        <v>14</v>
      </c>
      <c r="G28" s="8" t="s">
        <v>15</v>
      </c>
      <c r="H28" s="7">
        <f>177+39+82</f>
        <v>298</v>
      </c>
      <c r="I28" s="15">
        <f t="shared" si="0"/>
        <v>576</v>
      </c>
      <c r="J28" s="10">
        <v>45684</v>
      </c>
      <c r="K28" s="10">
        <v>45707</v>
      </c>
      <c r="L28" s="11" t="s">
        <v>67</v>
      </c>
      <c r="M28" s="12">
        <f>H28*154144.61</f>
        <v>45935093.779999994</v>
      </c>
    </row>
    <row r="29" spans="1:15" ht="15.75" customHeight="1">
      <c r="A29" s="7">
        <v>26</v>
      </c>
      <c r="B29" s="7">
        <v>2</v>
      </c>
      <c r="C29" s="15">
        <v>1</v>
      </c>
      <c r="D29" s="15">
        <v>2</v>
      </c>
      <c r="E29" s="7">
        <v>6453</v>
      </c>
      <c r="F29" s="8" t="s">
        <v>14</v>
      </c>
      <c r="G29" s="8" t="s">
        <v>15</v>
      </c>
      <c r="H29" s="7">
        <f>(221+39+29+82)*0.9</f>
        <v>333.90000000000003</v>
      </c>
      <c r="I29" s="15">
        <f t="shared" si="0"/>
        <v>672</v>
      </c>
      <c r="J29" s="10">
        <v>45682</v>
      </c>
      <c r="K29" s="10">
        <v>45709</v>
      </c>
      <c r="L29" s="11" t="s">
        <v>21</v>
      </c>
      <c r="M29" s="12">
        <f>H29*154144.61-240000</f>
        <v>51228885.278999999</v>
      </c>
    </row>
    <row r="30" spans="1:15" ht="15.75" customHeight="1">
      <c r="A30" s="7">
        <v>27</v>
      </c>
      <c r="B30" s="7">
        <v>4</v>
      </c>
      <c r="C30" s="15">
        <v>1</v>
      </c>
      <c r="D30" s="15">
        <v>2</v>
      </c>
      <c r="E30" s="7">
        <v>6043</v>
      </c>
      <c r="F30" s="7">
        <v>12</v>
      </c>
      <c r="G30" s="7">
        <v>8</v>
      </c>
      <c r="H30" s="7">
        <f>341+39+90</f>
        <v>470</v>
      </c>
      <c r="I30" s="15">
        <f t="shared" si="0"/>
        <v>720</v>
      </c>
      <c r="J30" s="10">
        <v>45683</v>
      </c>
      <c r="K30" s="10">
        <v>45712</v>
      </c>
      <c r="L30" s="11" t="s">
        <v>95</v>
      </c>
      <c r="M30" s="12">
        <f t="shared" ref="M30:M35" si="3">H30*154144.61</f>
        <v>72447966.699999988</v>
      </c>
    </row>
    <row r="31" spans="1:15">
      <c r="A31" s="7">
        <v>28</v>
      </c>
      <c r="B31" s="7">
        <v>3</v>
      </c>
      <c r="C31" s="15">
        <v>1</v>
      </c>
      <c r="D31" s="15">
        <v>2</v>
      </c>
      <c r="E31" s="7">
        <v>8917</v>
      </c>
      <c r="F31" s="7">
        <v>12</v>
      </c>
      <c r="G31" s="7">
        <v>8</v>
      </c>
      <c r="H31" s="28">
        <f>(392+90)*0.9</f>
        <v>433.8</v>
      </c>
      <c r="I31" s="15">
        <f t="shared" si="0"/>
        <v>552</v>
      </c>
      <c r="J31" s="10">
        <v>45693</v>
      </c>
      <c r="K31" s="10">
        <v>45715</v>
      </c>
      <c r="L31" s="11" t="s">
        <v>118</v>
      </c>
      <c r="M31" s="12">
        <f t="shared" si="3"/>
        <v>66867931.817999996</v>
      </c>
    </row>
    <row r="32" spans="1:15" ht="31.5">
      <c r="A32" s="7">
        <v>29</v>
      </c>
      <c r="B32" s="7">
        <v>9</v>
      </c>
      <c r="C32" s="15">
        <v>1</v>
      </c>
      <c r="D32" s="15">
        <v>2</v>
      </c>
      <c r="E32" s="7">
        <v>697</v>
      </c>
      <c r="F32" s="7">
        <v>88</v>
      </c>
      <c r="G32" s="7">
        <v>2</v>
      </c>
      <c r="H32" s="29">
        <f>39+74+234+39+29+90</f>
        <v>505</v>
      </c>
      <c r="I32" s="15">
        <f t="shared" si="0"/>
        <v>672</v>
      </c>
      <c r="J32" s="10">
        <v>45689</v>
      </c>
      <c r="K32" s="10">
        <v>45716</v>
      </c>
      <c r="L32" s="11" t="s">
        <v>99</v>
      </c>
      <c r="M32" s="12">
        <f t="shared" si="3"/>
        <v>77843028.049999997</v>
      </c>
    </row>
    <row r="33" spans="1:15">
      <c r="A33" s="7">
        <v>30</v>
      </c>
      <c r="B33" s="7">
        <v>12</v>
      </c>
      <c r="C33" s="15">
        <v>1</v>
      </c>
      <c r="D33" s="15">
        <v>2</v>
      </c>
      <c r="E33" s="7">
        <v>6270</v>
      </c>
      <c r="F33" s="8" t="s">
        <v>23</v>
      </c>
      <c r="G33" s="8" t="s">
        <v>15</v>
      </c>
      <c r="H33" s="7">
        <f>137+39+77</f>
        <v>253</v>
      </c>
      <c r="I33" s="15">
        <f t="shared" si="0"/>
        <v>216</v>
      </c>
      <c r="J33" s="10">
        <v>45708</v>
      </c>
      <c r="K33" s="10">
        <v>45716</v>
      </c>
      <c r="L33" s="11" t="s">
        <v>100</v>
      </c>
      <c r="M33" s="12">
        <f t="shared" si="3"/>
        <v>38998586.329999998</v>
      </c>
    </row>
    <row r="34" spans="1:15" s="2" customFormat="1" ht="16.5" customHeight="1">
      <c r="A34" s="7">
        <v>31</v>
      </c>
      <c r="B34" s="15">
        <v>10</v>
      </c>
      <c r="C34" s="15">
        <v>1</v>
      </c>
      <c r="D34" s="15">
        <v>3</v>
      </c>
      <c r="E34" s="7">
        <v>5669</v>
      </c>
      <c r="F34" s="7">
        <v>87</v>
      </c>
      <c r="G34" s="7">
        <v>2</v>
      </c>
      <c r="H34" s="7">
        <f>112+39+39+29+90</f>
        <v>309</v>
      </c>
      <c r="I34" s="9">
        <f t="shared" si="0"/>
        <v>192</v>
      </c>
      <c r="J34" s="10">
        <v>45709</v>
      </c>
      <c r="K34" s="10">
        <v>45716</v>
      </c>
      <c r="L34" s="11" t="s">
        <v>164</v>
      </c>
      <c r="M34" s="12">
        <f t="shared" si="3"/>
        <v>47630684.489999995</v>
      </c>
      <c r="N34" s="4"/>
      <c r="O34" s="4"/>
    </row>
    <row r="35" spans="1:15" s="2" customFormat="1" ht="31.5">
      <c r="A35" s="7">
        <v>32</v>
      </c>
      <c r="B35" s="15">
        <v>1</v>
      </c>
      <c r="C35" s="15">
        <v>1</v>
      </c>
      <c r="D35" s="15">
        <v>3</v>
      </c>
      <c r="E35" s="7">
        <v>3505</v>
      </c>
      <c r="F35" s="7">
        <v>88</v>
      </c>
      <c r="G35" s="7">
        <v>2</v>
      </c>
      <c r="H35" s="7">
        <f>74+39+137+85</f>
        <v>335</v>
      </c>
      <c r="I35" s="9">
        <f t="shared" si="0"/>
        <v>312</v>
      </c>
      <c r="J35" s="10">
        <v>45706</v>
      </c>
      <c r="K35" s="10">
        <v>45718</v>
      </c>
      <c r="L35" s="11" t="s">
        <v>154</v>
      </c>
      <c r="M35" s="12">
        <f t="shared" si="3"/>
        <v>51638444.349999994</v>
      </c>
      <c r="N35" s="4"/>
      <c r="O35" s="4"/>
    </row>
    <row r="36" spans="1:15" s="2" customFormat="1">
      <c r="A36" s="7">
        <v>33</v>
      </c>
      <c r="B36" s="7">
        <v>2</v>
      </c>
      <c r="C36" s="15">
        <v>1</v>
      </c>
      <c r="D36" s="15">
        <v>3</v>
      </c>
      <c r="E36" s="7">
        <v>7291</v>
      </c>
      <c r="F36" s="8" t="s">
        <v>14</v>
      </c>
      <c r="G36" s="8" t="s">
        <v>15</v>
      </c>
      <c r="H36" s="7">
        <f>177+39+82</f>
        <v>298</v>
      </c>
      <c r="I36" s="9">
        <f t="shared" ref="I36:I67" si="4">(K36-J36+1)*24</f>
        <v>240</v>
      </c>
      <c r="J36" s="10">
        <v>45710</v>
      </c>
      <c r="K36" s="10">
        <v>45719</v>
      </c>
      <c r="L36" s="27" t="s">
        <v>67</v>
      </c>
      <c r="M36" s="12">
        <f>H36*154144.61-80000</f>
        <v>45855093.779999994</v>
      </c>
      <c r="N36" s="4"/>
      <c r="O36" s="4"/>
    </row>
    <row r="37" spans="1:15" s="2" customFormat="1" ht="16.5" customHeight="1">
      <c r="A37" s="7">
        <v>34</v>
      </c>
      <c r="B37" s="7">
        <v>6</v>
      </c>
      <c r="C37" s="15">
        <v>1</v>
      </c>
      <c r="D37" s="15">
        <v>3</v>
      </c>
      <c r="E37" s="7">
        <v>9402</v>
      </c>
      <c r="F37" s="8">
        <v>7</v>
      </c>
      <c r="G37" s="8">
        <v>8</v>
      </c>
      <c r="H37" s="7">
        <f>177+39+29+45+83</f>
        <v>373</v>
      </c>
      <c r="I37" s="9">
        <f t="shared" si="4"/>
        <v>360</v>
      </c>
      <c r="J37" s="10">
        <v>45708</v>
      </c>
      <c r="K37" s="10">
        <v>45722</v>
      </c>
      <c r="L37" s="27" t="s">
        <v>155</v>
      </c>
      <c r="M37" s="12">
        <f>H37*154144.61</f>
        <v>57495939.529999994</v>
      </c>
      <c r="N37" s="4"/>
      <c r="O37" s="4"/>
    </row>
    <row r="38" spans="1:15" s="2" customFormat="1">
      <c r="A38" s="7">
        <v>35</v>
      </c>
      <c r="B38" s="7">
        <v>12</v>
      </c>
      <c r="C38" s="15">
        <v>1</v>
      </c>
      <c r="D38" s="15">
        <v>3</v>
      </c>
      <c r="E38" s="7">
        <v>2468</v>
      </c>
      <c r="F38" s="7">
        <v>12</v>
      </c>
      <c r="G38" s="7">
        <v>8</v>
      </c>
      <c r="H38" s="7">
        <f>37+39+137+90</f>
        <v>303</v>
      </c>
      <c r="I38" s="15">
        <f t="shared" si="4"/>
        <v>360</v>
      </c>
      <c r="J38" s="10">
        <v>45718</v>
      </c>
      <c r="K38" s="10">
        <v>45732</v>
      </c>
      <c r="L38" s="11" t="s">
        <v>156</v>
      </c>
      <c r="M38" s="12">
        <f>H38*154144.61</f>
        <v>46705816.829999998</v>
      </c>
      <c r="N38" s="4"/>
      <c r="O38" s="4"/>
    </row>
    <row r="39" spans="1:15" s="2" customFormat="1">
      <c r="A39" s="7">
        <v>36</v>
      </c>
      <c r="B39" s="7">
        <v>3</v>
      </c>
      <c r="C39" s="15">
        <v>1</v>
      </c>
      <c r="D39" s="15">
        <v>3</v>
      </c>
      <c r="E39" s="7">
        <v>6466</v>
      </c>
      <c r="F39" s="8" t="s">
        <v>14</v>
      </c>
      <c r="G39" s="8" t="s">
        <v>15</v>
      </c>
      <c r="H39" s="7">
        <f>221+39+82</f>
        <v>342</v>
      </c>
      <c r="I39" s="15">
        <f t="shared" si="4"/>
        <v>432</v>
      </c>
      <c r="J39" s="10">
        <v>45716</v>
      </c>
      <c r="K39" s="10">
        <v>45733</v>
      </c>
      <c r="L39" s="11" t="s">
        <v>28</v>
      </c>
      <c r="M39" s="12">
        <f>H39*154144.61-80000</f>
        <v>52637456.619999997</v>
      </c>
      <c r="N39" s="4"/>
      <c r="O39" s="4"/>
    </row>
    <row r="40" spans="1:15" s="2" customFormat="1" ht="31.5">
      <c r="A40" s="7">
        <v>37</v>
      </c>
      <c r="B40" s="7">
        <v>10</v>
      </c>
      <c r="C40" s="15">
        <v>1</v>
      </c>
      <c r="D40" s="15">
        <v>3</v>
      </c>
      <c r="E40" s="7">
        <v>3501</v>
      </c>
      <c r="F40" s="7">
        <v>83</v>
      </c>
      <c r="G40" s="7">
        <v>11</v>
      </c>
      <c r="H40" s="7">
        <f>140+39+234+39+29+90</f>
        <v>571</v>
      </c>
      <c r="I40" s="15">
        <f t="shared" si="4"/>
        <v>456</v>
      </c>
      <c r="J40" s="10">
        <v>45717</v>
      </c>
      <c r="K40" s="10">
        <v>45735</v>
      </c>
      <c r="L40" s="11" t="s">
        <v>134</v>
      </c>
      <c r="M40" s="12">
        <f t="shared" ref="M40:M55" si="5">H40*154144.61</f>
        <v>88016572.309999987</v>
      </c>
      <c r="N40" s="4"/>
      <c r="O40" s="4"/>
    </row>
    <row r="41" spans="1:15" s="2" customFormat="1">
      <c r="A41" s="7">
        <v>38</v>
      </c>
      <c r="B41" s="7">
        <v>11</v>
      </c>
      <c r="C41" s="15">
        <v>1</v>
      </c>
      <c r="D41" s="15">
        <v>3</v>
      </c>
      <c r="E41" s="7">
        <v>5674</v>
      </c>
      <c r="F41" s="8">
        <v>88</v>
      </c>
      <c r="G41" s="8">
        <v>2</v>
      </c>
      <c r="H41" s="7">
        <f>392+234+90</f>
        <v>716</v>
      </c>
      <c r="I41" s="15">
        <f t="shared" si="4"/>
        <v>840</v>
      </c>
      <c r="J41" s="10">
        <v>45703</v>
      </c>
      <c r="K41" s="10">
        <v>45737</v>
      </c>
      <c r="L41" s="11" t="s">
        <v>157</v>
      </c>
      <c r="M41" s="12">
        <f t="shared" si="5"/>
        <v>110367540.75999999</v>
      </c>
      <c r="N41" s="4"/>
      <c r="O41" s="4"/>
    </row>
    <row r="42" spans="1:15" s="2" customFormat="1">
      <c r="A42" s="7">
        <v>39</v>
      </c>
      <c r="B42" s="7">
        <v>4</v>
      </c>
      <c r="C42" s="15">
        <v>1</v>
      </c>
      <c r="D42" s="15">
        <v>3</v>
      </c>
      <c r="E42" s="7">
        <v>7728</v>
      </c>
      <c r="F42" s="8">
        <v>87</v>
      </c>
      <c r="G42" s="8">
        <v>2</v>
      </c>
      <c r="H42" s="7">
        <f>137+85</f>
        <v>222</v>
      </c>
      <c r="I42" s="15">
        <f t="shared" si="4"/>
        <v>312</v>
      </c>
      <c r="J42" s="10">
        <v>45730</v>
      </c>
      <c r="K42" s="10">
        <v>45742</v>
      </c>
      <c r="L42" s="11" t="s">
        <v>158</v>
      </c>
      <c r="M42" s="12">
        <f t="shared" si="5"/>
        <v>34220103.419999994</v>
      </c>
      <c r="N42" s="4"/>
      <c r="O42" s="4"/>
    </row>
    <row r="43" spans="1:15" s="2" customFormat="1" ht="31.5">
      <c r="A43" s="7">
        <v>40</v>
      </c>
      <c r="B43" s="7">
        <v>36</v>
      </c>
      <c r="C43" s="15">
        <v>1</v>
      </c>
      <c r="D43" s="15">
        <v>3</v>
      </c>
      <c r="E43" s="7">
        <v>6032</v>
      </c>
      <c r="F43" s="8">
        <v>13</v>
      </c>
      <c r="G43" s="8">
        <v>8</v>
      </c>
      <c r="H43" s="7">
        <f>221+112+39+29+137+39+90</f>
        <v>667</v>
      </c>
      <c r="I43" s="15">
        <f t="shared" si="4"/>
        <v>936</v>
      </c>
      <c r="J43" s="10">
        <v>45705</v>
      </c>
      <c r="K43" s="10">
        <v>45743</v>
      </c>
      <c r="L43" s="11" t="s">
        <v>165</v>
      </c>
      <c r="M43" s="12">
        <f t="shared" si="5"/>
        <v>102814454.86999999</v>
      </c>
      <c r="N43" s="4"/>
      <c r="O43" s="4"/>
    </row>
    <row r="44" spans="1:15" s="2" customFormat="1">
      <c r="A44" s="7">
        <v>41</v>
      </c>
      <c r="B44" s="7">
        <v>3</v>
      </c>
      <c r="C44" s="15">
        <v>1</v>
      </c>
      <c r="D44" s="15">
        <v>3</v>
      </c>
      <c r="E44" s="7">
        <v>6454</v>
      </c>
      <c r="F44" s="8" t="s">
        <v>23</v>
      </c>
      <c r="G44" s="8" t="s">
        <v>15</v>
      </c>
      <c r="H44" s="7">
        <f>221+39+82</f>
        <v>342</v>
      </c>
      <c r="I44" s="15">
        <f t="shared" si="4"/>
        <v>240</v>
      </c>
      <c r="J44" s="10">
        <v>45734</v>
      </c>
      <c r="K44" s="10">
        <v>45743</v>
      </c>
      <c r="L44" s="11" t="s">
        <v>148</v>
      </c>
      <c r="M44" s="12">
        <f t="shared" si="5"/>
        <v>52717456.619999997</v>
      </c>
      <c r="N44" s="4"/>
      <c r="O44" s="4"/>
    </row>
    <row r="45" spans="1:15" s="2" customFormat="1">
      <c r="A45" s="7">
        <v>42</v>
      </c>
      <c r="B45" s="7">
        <v>5</v>
      </c>
      <c r="C45" s="15">
        <v>1</v>
      </c>
      <c r="D45" s="15">
        <v>3</v>
      </c>
      <c r="E45" s="7">
        <v>4667</v>
      </c>
      <c r="F45" s="7">
        <v>54</v>
      </c>
      <c r="G45" s="7">
        <v>11</v>
      </c>
      <c r="H45" s="7">
        <f>140+39+29+90</f>
        <v>298</v>
      </c>
      <c r="I45" s="15">
        <f t="shared" si="4"/>
        <v>168</v>
      </c>
      <c r="J45" s="10">
        <v>45738</v>
      </c>
      <c r="K45" s="10">
        <v>45744</v>
      </c>
      <c r="L45" s="11" t="s">
        <v>49</v>
      </c>
      <c r="M45" s="12">
        <f t="shared" si="5"/>
        <v>45935093.779999994</v>
      </c>
      <c r="N45" s="4"/>
      <c r="O45" s="4"/>
    </row>
    <row r="46" spans="1:15" s="2" customFormat="1">
      <c r="A46" s="7">
        <v>43</v>
      </c>
      <c r="B46" s="7">
        <v>12</v>
      </c>
      <c r="C46" s="15">
        <v>1</v>
      </c>
      <c r="D46" s="15">
        <v>3</v>
      </c>
      <c r="E46" s="7">
        <v>7752</v>
      </c>
      <c r="F46" s="7">
        <v>91</v>
      </c>
      <c r="G46" s="7">
        <v>2</v>
      </c>
      <c r="H46" s="7">
        <f>177+39+29+90</f>
        <v>335</v>
      </c>
      <c r="I46" s="15">
        <f t="shared" si="4"/>
        <v>312</v>
      </c>
      <c r="J46" s="10">
        <v>45735</v>
      </c>
      <c r="K46" s="10">
        <v>45747</v>
      </c>
      <c r="L46" s="27" t="s">
        <v>38</v>
      </c>
      <c r="M46" s="12">
        <f t="shared" si="5"/>
        <v>51638444.349999994</v>
      </c>
      <c r="N46" s="4"/>
      <c r="O46" s="4"/>
    </row>
    <row r="47" spans="1:15" s="2" customFormat="1" ht="16.5" customHeight="1">
      <c r="A47" s="7">
        <v>44</v>
      </c>
      <c r="B47" s="15">
        <v>10</v>
      </c>
      <c r="C47" s="15">
        <v>1</v>
      </c>
      <c r="D47" s="15">
        <v>4</v>
      </c>
      <c r="E47" s="7">
        <v>6494</v>
      </c>
      <c r="F47" s="8" t="s">
        <v>89</v>
      </c>
      <c r="G47" s="8" t="s">
        <v>15</v>
      </c>
      <c r="H47" s="7">
        <f>(221)*0.9+39+39+29+82</f>
        <v>387.9</v>
      </c>
      <c r="I47" s="9">
        <f t="shared" si="4"/>
        <v>264</v>
      </c>
      <c r="J47" s="10">
        <v>45737</v>
      </c>
      <c r="K47" s="10">
        <v>45747</v>
      </c>
      <c r="L47" s="32" t="s">
        <v>263</v>
      </c>
      <c r="M47" s="12">
        <f t="shared" si="5"/>
        <v>59792694.218999989</v>
      </c>
      <c r="N47" s="4"/>
      <c r="O47" s="4"/>
    </row>
    <row r="48" spans="1:15" s="2" customFormat="1">
      <c r="A48" s="7">
        <v>45</v>
      </c>
      <c r="B48" s="15">
        <v>6</v>
      </c>
      <c r="C48" s="15">
        <v>1</v>
      </c>
      <c r="D48" s="15">
        <v>4</v>
      </c>
      <c r="E48" s="7">
        <v>6480</v>
      </c>
      <c r="F48" s="7">
        <v>90</v>
      </c>
      <c r="G48" s="7">
        <v>2</v>
      </c>
      <c r="H48" s="7">
        <f>164+39+29+90</f>
        <v>322</v>
      </c>
      <c r="I48" s="9">
        <f t="shared" si="4"/>
        <v>672</v>
      </c>
      <c r="J48" s="10">
        <v>45723</v>
      </c>
      <c r="K48" s="10">
        <v>45750</v>
      </c>
      <c r="L48" s="30" t="s">
        <v>137</v>
      </c>
      <c r="M48" s="12">
        <f t="shared" si="5"/>
        <v>49634564.419999994</v>
      </c>
      <c r="N48" s="4"/>
      <c r="O48" s="4"/>
    </row>
    <row r="49" spans="1:15" s="2" customFormat="1">
      <c r="A49" s="7">
        <v>46</v>
      </c>
      <c r="B49" s="7">
        <v>11</v>
      </c>
      <c r="C49" s="15">
        <v>1</v>
      </c>
      <c r="D49" s="15">
        <v>4</v>
      </c>
      <c r="E49" s="7">
        <v>2445</v>
      </c>
      <c r="F49" s="8">
        <v>87</v>
      </c>
      <c r="G49" s="8">
        <v>2</v>
      </c>
      <c r="H49" s="7">
        <f>234+39+29</f>
        <v>302</v>
      </c>
      <c r="I49" s="9">
        <f t="shared" si="4"/>
        <v>336</v>
      </c>
      <c r="J49" s="10">
        <v>45738</v>
      </c>
      <c r="K49" s="10">
        <v>45751</v>
      </c>
      <c r="L49" s="27" t="s">
        <v>168</v>
      </c>
      <c r="M49" s="12">
        <f t="shared" si="5"/>
        <v>46551672.219999999</v>
      </c>
      <c r="N49" s="4"/>
      <c r="O49" s="4"/>
    </row>
    <row r="50" spans="1:15" ht="18" customHeight="1">
      <c r="A50" s="7">
        <v>47</v>
      </c>
      <c r="B50" s="7">
        <v>5</v>
      </c>
      <c r="C50" s="15">
        <v>1</v>
      </c>
      <c r="D50" s="15">
        <v>4</v>
      </c>
      <c r="E50" s="7">
        <v>3496</v>
      </c>
      <c r="F50" s="8">
        <v>83</v>
      </c>
      <c r="G50" s="8">
        <v>11</v>
      </c>
      <c r="H50" s="7">
        <f>392+29+90</f>
        <v>511</v>
      </c>
      <c r="I50" s="9">
        <f t="shared" si="4"/>
        <v>360</v>
      </c>
      <c r="J50" s="10">
        <v>45745</v>
      </c>
      <c r="K50" s="10">
        <v>45759</v>
      </c>
      <c r="L50" s="27" t="s">
        <v>198</v>
      </c>
      <c r="M50" s="12">
        <f t="shared" si="5"/>
        <v>78767895.709999993</v>
      </c>
    </row>
    <row r="51" spans="1:15" ht="31.5">
      <c r="A51" s="7">
        <v>48</v>
      </c>
      <c r="B51" s="7">
        <v>6</v>
      </c>
      <c r="C51" s="15">
        <v>1</v>
      </c>
      <c r="D51" s="15">
        <v>4</v>
      </c>
      <c r="E51" s="7">
        <v>7354</v>
      </c>
      <c r="F51" s="8" t="s">
        <v>23</v>
      </c>
      <c r="G51" s="8" t="s">
        <v>15</v>
      </c>
      <c r="H51" s="7">
        <f>221+137+39+37+82</f>
        <v>516</v>
      </c>
      <c r="I51" s="15">
        <f t="shared" si="4"/>
        <v>216</v>
      </c>
      <c r="J51" s="10">
        <v>45751</v>
      </c>
      <c r="K51" s="10">
        <v>45759</v>
      </c>
      <c r="L51" s="11" t="s">
        <v>201</v>
      </c>
      <c r="M51" s="12">
        <f t="shared" si="5"/>
        <v>79538618.75999999</v>
      </c>
    </row>
    <row r="52" spans="1:15">
      <c r="A52" s="7">
        <v>49</v>
      </c>
      <c r="B52" s="7">
        <v>7</v>
      </c>
      <c r="C52" s="15">
        <v>1</v>
      </c>
      <c r="D52" s="15">
        <v>4</v>
      </c>
      <c r="E52" s="7">
        <v>3418</v>
      </c>
      <c r="F52" s="8">
        <v>85</v>
      </c>
      <c r="G52" s="8">
        <v>11</v>
      </c>
      <c r="H52" s="7">
        <f>140+39+83</f>
        <v>262</v>
      </c>
      <c r="I52" s="15">
        <f t="shared" si="4"/>
        <v>288</v>
      </c>
      <c r="J52" s="10">
        <v>45752</v>
      </c>
      <c r="K52" s="10">
        <v>45763</v>
      </c>
      <c r="L52" s="11" t="s">
        <v>40</v>
      </c>
      <c r="M52" s="12">
        <f t="shared" si="5"/>
        <v>40385887.819999993</v>
      </c>
    </row>
    <row r="53" spans="1:15" ht="16.5" customHeight="1">
      <c r="A53" s="7">
        <v>50</v>
      </c>
      <c r="B53" s="7">
        <v>11</v>
      </c>
      <c r="C53" s="15">
        <v>1</v>
      </c>
      <c r="D53" s="15">
        <v>4</v>
      </c>
      <c r="E53" s="7">
        <v>6438</v>
      </c>
      <c r="F53" s="8" t="s">
        <v>23</v>
      </c>
      <c r="G53" s="8" t="s">
        <v>15</v>
      </c>
      <c r="H53" s="7">
        <f>177+39+82</f>
        <v>298</v>
      </c>
      <c r="I53" s="15">
        <f t="shared" si="4"/>
        <v>312</v>
      </c>
      <c r="J53" s="10">
        <v>45752</v>
      </c>
      <c r="K53" s="10">
        <v>45764</v>
      </c>
      <c r="L53" s="11" t="s">
        <v>52</v>
      </c>
      <c r="M53" s="12">
        <f t="shared" si="5"/>
        <v>45935093.779999994</v>
      </c>
    </row>
    <row r="54" spans="1:15">
      <c r="A54" s="7">
        <v>51</v>
      </c>
      <c r="B54" s="7">
        <v>5</v>
      </c>
      <c r="C54" s="15">
        <v>1</v>
      </c>
      <c r="D54" s="15">
        <v>4</v>
      </c>
      <c r="E54" s="7">
        <v>5973</v>
      </c>
      <c r="F54" s="8" t="s">
        <v>23</v>
      </c>
      <c r="G54" s="8" t="s">
        <v>15</v>
      </c>
      <c r="H54" s="7">
        <f>177+39+29+82</f>
        <v>327</v>
      </c>
      <c r="I54" s="15">
        <f t="shared" si="4"/>
        <v>216</v>
      </c>
      <c r="J54" s="10">
        <v>45760</v>
      </c>
      <c r="K54" s="10">
        <v>45768</v>
      </c>
      <c r="L54" s="11" t="s">
        <v>63</v>
      </c>
      <c r="M54" s="12">
        <f t="shared" si="5"/>
        <v>50405287.469999999</v>
      </c>
    </row>
    <row r="55" spans="1:15" ht="16.5" customHeight="1">
      <c r="A55" s="7">
        <v>52</v>
      </c>
      <c r="B55" s="7">
        <v>11</v>
      </c>
      <c r="C55" s="15">
        <v>1</v>
      </c>
      <c r="D55" s="15">
        <v>4</v>
      </c>
      <c r="E55" s="7">
        <v>4599</v>
      </c>
      <c r="F55" s="8">
        <v>7</v>
      </c>
      <c r="G55" s="8">
        <v>8</v>
      </c>
      <c r="H55" s="7">
        <f>39+45+79</f>
        <v>163</v>
      </c>
      <c r="I55" s="15">
        <f t="shared" si="4"/>
        <v>192</v>
      </c>
      <c r="J55" s="10">
        <v>45765</v>
      </c>
      <c r="K55" s="10">
        <v>45772</v>
      </c>
      <c r="L55" s="11" t="s">
        <v>202</v>
      </c>
      <c r="M55" s="12">
        <f t="shared" si="5"/>
        <v>25125571.429999996</v>
      </c>
    </row>
    <row r="56" spans="1:15" ht="16.5" customHeight="1">
      <c r="A56" s="7">
        <v>53</v>
      </c>
      <c r="B56" s="7">
        <v>10</v>
      </c>
      <c r="C56" s="15">
        <v>1</v>
      </c>
      <c r="D56" s="15">
        <v>4</v>
      </c>
      <c r="E56" s="7">
        <v>9144</v>
      </c>
      <c r="F56" s="8" t="s">
        <v>23</v>
      </c>
      <c r="G56" s="8" t="s">
        <v>15</v>
      </c>
      <c r="H56" s="7">
        <f>(137)*0.9+82</f>
        <v>205.3</v>
      </c>
      <c r="I56" s="15">
        <f t="shared" si="4"/>
        <v>648</v>
      </c>
      <c r="J56" s="10">
        <v>45748</v>
      </c>
      <c r="K56" s="10">
        <v>45774</v>
      </c>
      <c r="L56" s="11" t="s">
        <v>203</v>
      </c>
      <c r="M56" s="12">
        <f>H56*154144.61-80000</f>
        <v>31565888.432999998</v>
      </c>
    </row>
    <row r="57" spans="1:15" ht="16.5" customHeight="1">
      <c r="A57" s="7">
        <v>54</v>
      </c>
      <c r="B57" s="7">
        <v>3</v>
      </c>
      <c r="C57" s="15">
        <v>1</v>
      </c>
      <c r="D57" s="15">
        <v>4</v>
      </c>
      <c r="E57" s="7">
        <v>4714</v>
      </c>
      <c r="F57" s="8" t="s">
        <v>23</v>
      </c>
      <c r="G57" s="8" t="s">
        <v>15</v>
      </c>
      <c r="H57" s="7">
        <f>177+39+82</f>
        <v>298</v>
      </c>
      <c r="I57" s="15">
        <f t="shared" si="4"/>
        <v>792</v>
      </c>
      <c r="J57" s="10">
        <v>45744</v>
      </c>
      <c r="K57" s="10">
        <v>45776</v>
      </c>
      <c r="L57" s="11" t="s">
        <v>67</v>
      </c>
      <c r="M57" s="12">
        <f>H57*154144.61-160000</f>
        <v>45775093.779999994</v>
      </c>
    </row>
    <row r="58" spans="1:15" ht="16.5" customHeight="1">
      <c r="A58" s="7">
        <v>55</v>
      </c>
      <c r="B58" s="7">
        <v>7</v>
      </c>
      <c r="C58" s="15">
        <v>1</v>
      </c>
      <c r="D58" s="15">
        <v>4</v>
      </c>
      <c r="E58" s="7">
        <v>8114</v>
      </c>
      <c r="F58" s="8">
        <v>84</v>
      </c>
      <c r="G58" s="8">
        <v>11</v>
      </c>
      <c r="H58" s="7">
        <f>234+39+79</f>
        <v>352</v>
      </c>
      <c r="I58" s="15">
        <f t="shared" si="4"/>
        <v>336</v>
      </c>
      <c r="J58" s="10">
        <v>45764</v>
      </c>
      <c r="K58" s="10">
        <v>45777</v>
      </c>
      <c r="L58" s="27" t="s">
        <v>115</v>
      </c>
      <c r="M58" s="12">
        <f>H58*154144.61</f>
        <v>54258902.719999999</v>
      </c>
    </row>
    <row r="59" spans="1:15" ht="16.5" customHeight="1">
      <c r="A59" s="7">
        <v>56</v>
      </c>
      <c r="B59" s="7">
        <v>2</v>
      </c>
      <c r="C59" s="15">
        <v>1</v>
      </c>
      <c r="D59" s="15">
        <v>4</v>
      </c>
      <c r="E59" s="7">
        <v>7287</v>
      </c>
      <c r="F59" s="8">
        <v>88</v>
      </c>
      <c r="G59" s="8">
        <v>2</v>
      </c>
      <c r="H59" s="7">
        <f>177+57+39+83</f>
        <v>356</v>
      </c>
      <c r="I59" s="15">
        <f t="shared" si="4"/>
        <v>504</v>
      </c>
      <c r="J59" s="10">
        <v>45757</v>
      </c>
      <c r="K59" s="10">
        <v>45777</v>
      </c>
      <c r="L59" s="11" t="s">
        <v>204</v>
      </c>
      <c r="M59" s="12">
        <f>H59*154144.61</f>
        <v>54875481.159999996</v>
      </c>
    </row>
    <row r="60" spans="1:15" ht="16.5" customHeight="1">
      <c r="A60" s="7">
        <v>57</v>
      </c>
      <c r="B60" s="15">
        <v>4</v>
      </c>
      <c r="C60" s="15">
        <v>1</v>
      </c>
      <c r="D60" s="15">
        <v>5</v>
      </c>
      <c r="E60" s="7">
        <v>3326</v>
      </c>
      <c r="F60" s="8">
        <v>87</v>
      </c>
      <c r="G60" s="8">
        <v>2</v>
      </c>
      <c r="H60" s="7">
        <f>140+39+79</f>
        <v>258</v>
      </c>
      <c r="I60" s="9">
        <f t="shared" si="4"/>
        <v>360</v>
      </c>
      <c r="J60" s="10">
        <v>45766</v>
      </c>
      <c r="K60" s="10">
        <v>45780</v>
      </c>
      <c r="L60" s="11" t="s">
        <v>243</v>
      </c>
      <c r="M60" s="12">
        <f>H60*154144.61</f>
        <v>39769309.379999995</v>
      </c>
    </row>
    <row r="61" spans="1:15" ht="16.5" customHeight="1">
      <c r="A61" s="7">
        <v>58</v>
      </c>
      <c r="B61" s="15">
        <v>9</v>
      </c>
      <c r="C61" s="15">
        <v>1</v>
      </c>
      <c r="D61" s="15">
        <v>5</v>
      </c>
      <c r="E61" s="7">
        <v>119</v>
      </c>
      <c r="F61" s="7">
        <v>90</v>
      </c>
      <c r="G61" s="7">
        <v>2</v>
      </c>
      <c r="H61" s="7">
        <f>57+39+29+37+72</f>
        <v>234</v>
      </c>
      <c r="I61" s="9">
        <f t="shared" si="4"/>
        <v>240</v>
      </c>
      <c r="J61" s="10">
        <v>45771</v>
      </c>
      <c r="K61" s="10">
        <v>45780</v>
      </c>
      <c r="L61" s="30" t="s">
        <v>207</v>
      </c>
      <c r="M61" s="12">
        <f>H61*154144.61-70000</f>
        <v>35999838.739999995</v>
      </c>
    </row>
    <row r="62" spans="1:15" ht="16.5" customHeight="1">
      <c r="A62" s="7">
        <v>59</v>
      </c>
      <c r="B62" s="7">
        <v>1</v>
      </c>
      <c r="C62" s="15">
        <v>1</v>
      </c>
      <c r="D62" s="15">
        <v>5</v>
      </c>
      <c r="E62" s="7">
        <v>139</v>
      </c>
      <c r="F62" s="8" t="s">
        <v>89</v>
      </c>
      <c r="G62" s="8" t="s">
        <v>15</v>
      </c>
      <c r="H62" s="7">
        <f>39+29+140+71</f>
        <v>279</v>
      </c>
      <c r="I62" s="9">
        <f t="shared" si="4"/>
        <v>408</v>
      </c>
      <c r="J62" s="10">
        <v>45765</v>
      </c>
      <c r="K62" s="10">
        <v>45781</v>
      </c>
      <c r="L62" s="27" t="s">
        <v>230</v>
      </c>
      <c r="M62" s="12">
        <f>H62*154144.61</f>
        <v>43006346.189999998</v>
      </c>
    </row>
    <row r="63" spans="1:15" ht="18" customHeight="1">
      <c r="A63" s="7">
        <v>60</v>
      </c>
      <c r="B63" s="7">
        <v>6</v>
      </c>
      <c r="C63" s="15">
        <v>1</v>
      </c>
      <c r="D63" s="15">
        <v>5</v>
      </c>
      <c r="E63" s="7">
        <v>6181</v>
      </c>
      <c r="F63" s="8">
        <v>54</v>
      </c>
      <c r="G63" s="8">
        <v>11</v>
      </c>
      <c r="H63" s="7">
        <f>57+39+234+83</f>
        <v>413</v>
      </c>
      <c r="I63" s="9">
        <f t="shared" si="4"/>
        <v>600</v>
      </c>
      <c r="J63" s="10">
        <v>45760</v>
      </c>
      <c r="K63" s="10">
        <v>45784</v>
      </c>
      <c r="L63" s="27" t="s">
        <v>231</v>
      </c>
      <c r="M63" s="12">
        <f>H63*154144.61</f>
        <v>63661723.929999992</v>
      </c>
    </row>
    <row r="64" spans="1:15">
      <c r="A64" s="7">
        <v>61</v>
      </c>
      <c r="B64" s="7">
        <v>7</v>
      </c>
      <c r="C64" s="15">
        <v>1</v>
      </c>
      <c r="D64" s="15">
        <v>5</v>
      </c>
      <c r="E64" s="7">
        <v>7704</v>
      </c>
      <c r="F64" s="8" t="s">
        <v>27</v>
      </c>
      <c r="G64" s="8" t="s">
        <v>15</v>
      </c>
      <c r="H64" s="7">
        <f>177+39+71</f>
        <v>287</v>
      </c>
      <c r="I64" s="9">
        <f t="shared" si="4"/>
        <v>192</v>
      </c>
      <c r="J64" s="10">
        <v>45778</v>
      </c>
      <c r="K64" s="10">
        <v>45785</v>
      </c>
      <c r="L64" s="11" t="s">
        <v>211</v>
      </c>
      <c r="M64" s="12">
        <f>H64*154144.61</f>
        <v>44239503.069999993</v>
      </c>
    </row>
    <row r="65" spans="1:13">
      <c r="A65" s="7">
        <v>62</v>
      </c>
      <c r="B65" s="7">
        <v>4</v>
      </c>
      <c r="C65" s="15">
        <v>1</v>
      </c>
      <c r="D65" s="15">
        <v>5</v>
      </c>
      <c r="E65" s="7">
        <v>9121</v>
      </c>
      <c r="F65" s="8" t="s">
        <v>27</v>
      </c>
      <c r="G65" s="8" t="s">
        <v>15</v>
      </c>
      <c r="H65" s="7">
        <f>137+39+29+66</f>
        <v>271</v>
      </c>
      <c r="I65" s="15">
        <f t="shared" si="4"/>
        <v>168</v>
      </c>
      <c r="J65" s="10">
        <v>45781</v>
      </c>
      <c r="K65" s="10">
        <v>45787</v>
      </c>
      <c r="L65" s="11" t="s">
        <v>209</v>
      </c>
      <c r="M65" s="12">
        <f>H65*154144.61</f>
        <v>41773189.309999995</v>
      </c>
    </row>
    <row r="66" spans="1:13">
      <c r="A66" s="7">
        <v>63</v>
      </c>
      <c r="B66" s="7">
        <v>11</v>
      </c>
      <c r="C66" s="15">
        <v>1</v>
      </c>
      <c r="D66" s="15">
        <v>5</v>
      </c>
      <c r="E66" s="7">
        <v>3243</v>
      </c>
      <c r="F66" s="8" t="s">
        <v>14</v>
      </c>
      <c r="G66" s="8" t="s">
        <v>15</v>
      </c>
      <c r="H66" s="7">
        <f>137+39+29+66</f>
        <v>271</v>
      </c>
      <c r="I66" s="15">
        <f t="shared" si="4"/>
        <v>360</v>
      </c>
      <c r="J66" s="10">
        <v>45773</v>
      </c>
      <c r="K66" s="10">
        <v>45787</v>
      </c>
      <c r="L66" s="11" t="s">
        <v>209</v>
      </c>
      <c r="M66" s="12">
        <f>H66*154144.61-108000</f>
        <v>41665189.309999995</v>
      </c>
    </row>
    <row r="67" spans="1:13">
      <c r="A67" s="7">
        <v>64</v>
      </c>
      <c r="B67" s="7">
        <v>10</v>
      </c>
      <c r="C67" s="15">
        <v>1</v>
      </c>
      <c r="D67" s="15">
        <v>5</v>
      </c>
      <c r="E67" s="7">
        <v>4428</v>
      </c>
      <c r="F67" s="8" t="s">
        <v>89</v>
      </c>
      <c r="G67" s="8" t="s">
        <v>15</v>
      </c>
      <c r="H67" s="7">
        <f>39+29+71</f>
        <v>139</v>
      </c>
      <c r="I67" s="15">
        <f t="shared" si="4"/>
        <v>336</v>
      </c>
      <c r="J67" s="10">
        <v>45775</v>
      </c>
      <c r="K67" s="10">
        <v>45788</v>
      </c>
      <c r="L67" s="11" t="s">
        <v>232</v>
      </c>
      <c r="M67" s="12">
        <f>H67*154144.61</f>
        <v>21426100.789999999</v>
      </c>
    </row>
    <row r="68" spans="1:13">
      <c r="A68" s="7">
        <v>65</v>
      </c>
      <c r="B68" s="7">
        <v>12</v>
      </c>
      <c r="C68" s="15">
        <v>1</v>
      </c>
      <c r="D68" s="15">
        <v>5</v>
      </c>
      <c r="E68" s="7">
        <v>7491</v>
      </c>
      <c r="F68" s="8" t="s">
        <v>14</v>
      </c>
      <c r="G68" s="8" t="s">
        <v>15</v>
      </c>
      <c r="H68" s="7">
        <f>221+39+71</f>
        <v>331</v>
      </c>
      <c r="I68" s="15">
        <f t="shared" ref="I68:I99" si="6">(K68-J68+1)*24</f>
        <v>336</v>
      </c>
      <c r="J68" s="10">
        <v>45776</v>
      </c>
      <c r="K68" s="10">
        <v>45789</v>
      </c>
      <c r="L68" s="11" t="s">
        <v>126</v>
      </c>
      <c r="M68" s="12">
        <f>H68*154144.61</f>
        <v>51021865.909999996</v>
      </c>
    </row>
    <row r="69" spans="1:13">
      <c r="A69" s="7">
        <v>66</v>
      </c>
      <c r="B69" s="7">
        <v>11</v>
      </c>
      <c r="C69" s="15">
        <v>1</v>
      </c>
      <c r="D69" s="15">
        <v>5</v>
      </c>
      <c r="E69" s="7">
        <v>113</v>
      </c>
      <c r="F69" s="8">
        <v>91</v>
      </c>
      <c r="G69" s="8">
        <v>2</v>
      </c>
      <c r="H69" s="7">
        <f>177+39+72</f>
        <v>288</v>
      </c>
      <c r="I69" s="15">
        <f t="shared" si="6"/>
        <v>240</v>
      </c>
      <c r="J69" s="10">
        <v>45788</v>
      </c>
      <c r="K69" s="10">
        <v>45797</v>
      </c>
      <c r="L69" s="11" t="s">
        <v>52</v>
      </c>
      <c r="M69" s="12">
        <f>H69*154144.61</f>
        <v>44393647.679999992</v>
      </c>
    </row>
    <row r="70" spans="1:13">
      <c r="A70" s="7">
        <v>67</v>
      </c>
      <c r="B70" s="7">
        <v>12</v>
      </c>
      <c r="C70" s="15">
        <v>1</v>
      </c>
      <c r="D70" s="15">
        <v>5</v>
      </c>
      <c r="E70" s="7">
        <v>7137</v>
      </c>
      <c r="F70" s="8" t="s">
        <v>14</v>
      </c>
      <c r="G70" s="8" t="s">
        <v>15</v>
      </c>
      <c r="H70" s="7">
        <f>177+39+71</f>
        <v>287</v>
      </c>
      <c r="I70" s="15">
        <f t="shared" si="6"/>
        <v>216</v>
      </c>
      <c r="J70" s="10">
        <v>45790</v>
      </c>
      <c r="K70" s="10">
        <v>45798</v>
      </c>
      <c r="L70" s="11" t="s">
        <v>244</v>
      </c>
      <c r="M70" s="12">
        <f>H70*154144.61</f>
        <v>44239503.069999993</v>
      </c>
    </row>
    <row r="71" spans="1:13">
      <c r="A71" s="7">
        <v>68</v>
      </c>
      <c r="B71" s="7">
        <v>3</v>
      </c>
      <c r="C71" s="15">
        <v>1</v>
      </c>
      <c r="D71" s="15">
        <v>5</v>
      </c>
      <c r="E71" s="7">
        <v>5054</v>
      </c>
      <c r="F71" s="8" t="s">
        <v>23</v>
      </c>
      <c r="G71" s="8" t="s">
        <v>15</v>
      </c>
      <c r="H71" s="7">
        <f>177+39+137+29+66</f>
        <v>448</v>
      </c>
      <c r="I71" s="15">
        <f t="shared" si="6"/>
        <v>576</v>
      </c>
      <c r="J71" s="10">
        <v>45777</v>
      </c>
      <c r="K71" s="10">
        <v>45800</v>
      </c>
      <c r="L71" s="11" t="s">
        <v>245</v>
      </c>
      <c r="M71" s="12">
        <f>H71*154144.61-108000</f>
        <v>68948785.280000001</v>
      </c>
    </row>
    <row r="72" spans="1:13">
      <c r="A72" s="7">
        <v>69</v>
      </c>
      <c r="B72" s="7">
        <v>36</v>
      </c>
      <c r="C72" s="15">
        <v>1</v>
      </c>
      <c r="D72" s="15">
        <v>5</v>
      </c>
      <c r="E72" s="7">
        <v>8781</v>
      </c>
      <c r="F72" s="8">
        <v>54</v>
      </c>
      <c r="G72" s="8">
        <v>11</v>
      </c>
      <c r="H72" s="7">
        <f>177+39+29+79</f>
        <v>324</v>
      </c>
      <c r="I72" s="15">
        <f t="shared" si="6"/>
        <v>384</v>
      </c>
      <c r="J72" s="10">
        <v>45787</v>
      </c>
      <c r="K72" s="10">
        <v>45802</v>
      </c>
      <c r="L72" s="11" t="s">
        <v>246</v>
      </c>
      <c r="M72" s="12">
        <f>H72*154144.61</f>
        <v>49942853.639999993</v>
      </c>
    </row>
    <row r="73" spans="1:13">
      <c r="A73" s="7">
        <v>70</v>
      </c>
      <c r="B73" s="7">
        <v>10</v>
      </c>
      <c r="C73" s="15">
        <v>1</v>
      </c>
      <c r="D73" s="15">
        <v>5</v>
      </c>
      <c r="E73" s="7">
        <v>9063</v>
      </c>
      <c r="F73" s="8">
        <v>87</v>
      </c>
      <c r="G73" s="8">
        <v>2</v>
      </c>
      <c r="H73" s="7">
        <f>221+137+72</f>
        <v>430</v>
      </c>
      <c r="I73" s="15">
        <f t="shared" si="6"/>
        <v>168</v>
      </c>
      <c r="J73" s="10">
        <v>45799</v>
      </c>
      <c r="K73" s="10">
        <v>45805</v>
      </c>
      <c r="L73" s="11" t="s">
        <v>233</v>
      </c>
      <c r="M73" s="12">
        <f>H73*154144.61</f>
        <v>66282182.299999997</v>
      </c>
    </row>
    <row r="74" spans="1:13">
      <c r="A74" s="7">
        <v>71</v>
      </c>
      <c r="B74" s="15">
        <v>10</v>
      </c>
      <c r="C74" s="15">
        <v>1</v>
      </c>
      <c r="D74" s="15">
        <v>6</v>
      </c>
      <c r="E74" s="7">
        <v>9165</v>
      </c>
      <c r="F74" s="8" t="s">
        <v>14</v>
      </c>
      <c r="G74" s="8" t="s">
        <v>15</v>
      </c>
      <c r="H74" s="7">
        <f>221+39+71</f>
        <v>331</v>
      </c>
      <c r="I74" s="9">
        <f t="shared" si="6"/>
        <v>240</v>
      </c>
      <c r="J74" s="10">
        <v>45789</v>
      </c>
      <c r="K74" s="10">
        <v>45798</v>
      </c>
      <c r="L74" s="11" t="s">
        <v>291</v>
      </c>
      <c r="M74" s="12">
        <f>H74*154144.61</f>
        <v>51021865.909999996</v>
      </c>
    </row>
    <row r="75" spans="1:13" ht="31.5">
      <c r="A75" s="7">
        <v>72</v>
      </c>
      <c r="B75" s="15">
        <v>4</v>
      </c>
      <c r="C75" s="15">
        <v>1</v>
      </c>
      <c r="D75" s="15">
        <v>6</v>
      </c>
      <c r="E75" s="7">
        <v>7487</v>
      </c>
      <c r="F75" s="7">
        <v>88</v>
      </c>
      <c r="G75" s="7">
        <v>2</v>
      </c>
      <c r="H75" s="7">
        <f>29+79</f>
        <v>108</v>
      </c>
      <c r="I75" s="9">
        <v>648</v>
      </c>
      <c r="J75" s="10" t="s">
        <v>279</v>
      </c>
      <c r="K75" s="10" t="s">
        <v>280</v>
      </c>
      <c r="L75" s="30" t="s">
        <v>267</v>
      </c>
      <c r="M75" s="12">
        <f>H75*154144.61</f>
        <v>16647617.879999999</v>
      </c>
    </row>
    <row r="76" spans="1:13">
      <c r="A76" s="7">
        <v>73</v>
      </c>
      <c r="B76" s="7">
        <v>4</v>
      </c>
      <c r="C76" s="15">
        <v>1</v>
      </c>
      <c r="D76" s="15">
        <v>6</v>
      </c>
      <c r="E76" s="7">
        <v>5826</v>
      </c>
      <c r="F76" s="8">
        <v>83</v>
      </c>
      <c r="G76" s="8">
        <v>11</v>
      </c>
      <c r="H76" s="7">
        <f>79</f>
        <v>79</v>
      </c>
      <c r="I76" s="9">
        <f t="shared" ref="I76:I107" si="7">(K76-J76+1)*24</f>
        <v>408</v>
      </c>
      <c r="J76" s="10">
        <v>45792</v>
      </c>
      <c r="K76" s="10">
        <v>45808</v>
      </c>
      <c r="L76" s="27" t="s">
        <v>176</v>
      </c>
      <c r="M76" s="12">
        <f>H76*154144.61-216000</f>
        <v>11961424.189999999</v>
      </c>
    </row>
    <row r="77" spans="1:13">
      <c r="A77" s="7">
        <v>74</v>
      </c>
      <c r="B77" s="7">
        <v>11</v>
      </c>
      <c r="C77" s="15">
        <v>1</v>
      </c>
      <c r="D77" s="15">
        <v>6</v>
      </c>
      <c r="E77" s="7">
        <v>2113</v>
      </c>
      <c r="F77" s="8">
        <v>12</v>
      </c>
      <c r="G77" s="8">
        <v>8</v>
      </c>
      <c r="H77" s="7">
        <f>234+72</f>
        <v>306</v>
      </c>
      <c r="I77" s="9">
        <f t="shared" si="7"/>
        <v>336</v>
      </c>
      <c r="J77" s="10">
        <v>45798</v>
      </c>
      <c r="K77" s="10">
        <v>45811</v>
      </c>
      <c r="L77" s="11" t="s">
        <v>22</v>
      </c>
      <c r="M77" s="12">
        <f>H77*154144.61</f>
        <v>47168250.659999996</v>
      </c>
    </row>
    <row r="78" spans="1:13">
      <c r="A78" s="7">
        <v>75</v>
      </c>
      <c r="B78" s="7">
        <v>10</v>
      </c>
      <c r="C78" s="15">
        <v>1</v>
      </c>
      <c r="D78" s="15">
        <v>6</v>
      </c>
      <c r="E78" s="7">
        <v>7338</v>
      </c>
      <c r="F78" s="8" t="s">
        <v>23</v>
      </c>
      <c r="G78" s="8" t="s">
        <v>15</v>
      </c>
      <c r="H78" s="7">
        <f>221+39+71</f>
        <v>331</v>
      </c>
      <c r="I78" s="15">
        <f t="shared" si="7"/>
        <v>192</v>
      </c>
      <c r="J78" s="10">
        <v>45806</v>
      </c>
      <c r="K78" s="10">
        <v>45813</v>
      </c>
      <c r="L78" s="11" t="s">
        <v>148</v>
      </c>
      <c r="M78" s="12">
        <f>H78*154144.61</f>
        <v>51021865.909999996</v>
      </c>
    </row>
    <row r="79" spans="1:13" ht="31.5">
      <c r="A79" s="7">
        <v>76</v>
      </c>
      <c r="B79" s="7">
        <v>9</v>
      </c>
      <c r="C79" s="15">
        <v>1</v>
      </c>
      <c r="D79" s="15">
        <v>6</v>
      </c>
      <c r="E79" s="7">
        <v>7068</v>
      </c>
      <c r="F79" s="8" t="s">
        <v>27</v>
      </c>
      <c r="G79" s="8" t="s">
        <v>15</v>
      </c>
      <c r="H79" s="7">
        <f>268+137+39+29+66</f>
        <v>539</v>
      </c>
      <c r="I79" s="15">
        <f t="shared" si="7"/>
        <v>888</v>
      </c>
      <c r="J79" s="10">
        <v>45781</v>
      </c>
      <c r="K79" s="10">
        <v>45817</v>
      </c>
      <c r="L79" s="11" t="s">
        <v>281</v>
      </c>
      <c r="M79" s="12">
        <f>H79*154144.61-108000</f>
        <v>82975944.789999992</v>
      </c>
    </row>
    <row r="80" spans="1:13">
      <c r="A80" s="7">
        <v>77</v>
      </c>
      <c r="B80" s="7">
        <v>1</v>
      </c>
      <c r="C80" s="15">
        <v>1</v>
      </c>
      <c r="D80" s="15">
        <v>6</v>
      </c>
      <c r="E80" s="7">
        <v>9898</v>
      </c>
      <c r="F80" s="8">
        <v>55</v>
      </c>
      <c r="G80" s="8">
        <v>8</v>
      </c>
      <c r="H80" s="7">
        <f>221+79</f>
        <v>300</v>
      </c>
      <c r="I80" s="15">
        <f t="shared" si="7"/>
        <v>264</v>
      </c>
      <c r="J80" s="10">
        <v>45809</v>
      </c>
      <c r="K80" s="10">
        <v>45819</v>
      </c>
      <c r="L80" s="11" t="s">
        <v>78</v>
      </c>
      <c r="M80" s="12">
        <f>H80*154144.61</f>
        <v>46243382.999999993</v>
      </c>
    </row>
    <row r="81" spans="1:13">
      <c r="A81" s="7">
        <v>78</v>
      </c>
      <c r="B81" s="7">
        <v>7</v>
      </c>
      <c r="C81" s="15">
        <v>1</v>
      </c>
      <c r="D81" s="15">
        <v>6</v>
      </c>
      <c r="E81" s="7">
        <v>4103</v>
      </c>
      <c r="F81" s="8">
        <v>12</v>
      </c>
      <c r="G81" s="8">
        <v>8</v>
      </c>
      <c r="H81" s="7">
        <f>37+39+74+72</f>
        <v>222</v>
      </c>
      <c r="I81" s="15">
        <f t="shared" si="7"/>
        <v>216</v>
      </c>
      <c r="J81" s="10">
        <v>45812</v>
      </c>
      <c r="K81" s="10">
        <v>45820</v>
      </c>
      <c r="L81" s="11" t="s">
        <v>268</v>
      </c>
      <c r="M81" s="12">
        <f>H81*154144.61-100000</f>
        <v>34120103.419999994</v>
      </c>
    </row>
    <row r="82" spans="1:13">
      <c r="A82" s="7">
        <v>79</v>
      </c>
      <c r="B82" s="7">
        <v>10</v>
      </c>
      <c r="C82" s="15">
        <v>1</v>
      </c>
      <c r="D82" s="15">
        <v>6</v>
      </c>
      <c r="E82" s="7">
        <v>8032</v>
      </c>
      <c r="F82" s="8">
        <v>12</v>
      </c>
      <c r="G82" s="8">
        <v>8</v>
      </c>
      <c r="H82" s="7">
        <f>164+39+29+79</f>
        <v>311</v>
      </c>
      <c r="I82" s="15">
        <f t="shared" si="7"/>
        <v>216</v>
      </c>
      <c r="J82" s="10">
        <v>45814</v>
      </c>
      <c r="K82" s="10">
        <v>45822</v>
      </c>
      <c r="L82" s="11" t="s">
        <v>137</v>
      </c>
      <c r="M82" s="12">
        <f t="shared" ref="M82:M88" si="8">H82*154144.61</f>
        <v>47938973.709999993</v>
      </c>
    </row>
    <row r="83" spans="1:13">
      <c r="A83" s="7">
        <v>80</v>
      </c>
      <c r="B83" s="7">
        <v>2</v>
      </c>
      <c r="C83" s="15">
        <v>1</v>
      </c>
      <c r="D83" s="15">
        <v>6</v>
      </c>
      <c r="E83" s="7">
        <v>6752</v>
      </c>
      <c r="F83" s="8">
        <v>91</v>
      </c>
      <c r="G83" s="8">
        <v>2</v>
      </c>
      <c r="H83" s="7">
        <f>164+39+234+79</f>
        <v>516</v>
      </c>
      <c r="I83" s="15">
        <f t="shared" si="7"/>
        <v>456</v>
      </c>
      <c r="J83" s="10">
        <v>45805</v>
      </c>
      <c r="K83" s="10">
        <v>45823</v>
      </c>
      <c r="L83" s="11" t="s">
        <v>287</v>
      </c>
      <c r="M83" s="12">
        <f t="shared" si="8"/>
        <v>79538618.75999999</v>
      </c>
    </row>
    <row r="84" spans="1:13">
      <c r="A84" s="7">
        <v>81</v>
      </c>
      <c r="B84" s="7">
        <v>11</v>
      </c>
      <c r="C84" s="15">
        <v>1</v>
      </c>
      <c r="D84" s="15">
        <v>6</v>
      </c>
      <c r="E84" s="7">
        <v>4661</v>
      </c>
      <c r="F84" s="8">
        <v>93</v>
      </c>
      <c r="G84" s="8">
        <v>8</v>
      </c>
      <c r="H84" s="7">
        <f>137+39+66</f>
        <v>242</v>
      </c>
      <c r="I84" s="15">
        <f t="shared" si="7"/>
        <v>312</v>
      </c>
      <c r="J84" s="10">
        <v>45812</v>
      </c>
      <c r="K84" s="10">
        <v>45824</v>
      </c>
      <c r="L84" s="11" t="s">
        <v>282</v>
      </c>
      <c r="M84" s="12">
        <f t="shared" si="8"/>
        <v>37302995.619999997</v>
      </c>
    </row>
    <row r="85" spans="1:13">
      <c r="A85" s="7">
        <v>82</v>
      </c>
      <c r="B85" s="7">
        <v>9</v>
      </c>
      <c r="C85" s="15">
        <v>1</v>
      </c>
      <c r="D85" s="15">
        <v>6</v>
      </c>
      <c r="E85" s="7">
        <v>7352</v>
      </c>
      <c r="F85" s="8" t="s">
        <v>14</v>
      </c>
      <c r="G85" s="8" t="s">
        <v>15</v>
      </c>
      <c r="H85" s="7">
        <f>177+39+71</f>
        <v>287</v>
      </c>
      <c r="I85" s="15">
        <f t="shared" si="7"/>
        <v>192</v>
      </c>
      <c r="J85" s="10">
        <v>45819</v>
      </c>
      <c r="K85" s="10">
        <v>45826</v>
      </c>
      <c r="L85" s="11" t="s">
        <v>244</v>
      </c>
      <c r="M85" s="12">
        <f t="shared" si="8"/>
        <v>44239503.069999993</v>
      </c>
    </row>
    <row r="86" spans="1:13">
      <c r="A86" s="7">
        <v>83</v>
      </c>
      <c r="B86" s="7">
        <v>5</v>
      </c>
      <c r="C86" s="15">
        <v>1</v>
      </c>
      <c r="D86" s="15">
        <v>6</v>
      </c>
      <c r="E86" s="7">
        <v>6472</v>
      </c>
      <c r="F86" s="8" t="s">
        <v>14</v>
      </c>
      <c r="G86" s="8" t="s">
        <v>15</v>
      </c>
      <c r="H86" s="7">
        <f>137+39+66</f>
        <v>242</v>
      </c>
      <c r="I86" s="15">
        <f t="shared" si="7"/>
        <v>576</v>
      </c>
      <c r="J86" s="10">
        <v>45804</v>
      </c>
      <c r="K86" s="10">
        <v>45827</v>
      </c>
      <c r="L86" s="11" t="s">
        <v>283</v>
      </c>
      <c r="M86" s="12">
        <f t="shared" si="8"/>
        <v>37302995.619999997</v>
      </c>
    </row>
    <row r="87" spans="1:13">
      <c r="A87" s="7">
        <v>84</v>
      </c>
      <c r="B87" s="7">
        <v>12</v>
      </c>
      <c r="C87" s="15">
        <v>1</v>
      </c>
      <c r="D87" s="15">
        <v>6</v>
      </c>
      <c r="E87" s="7">
        <v>4139</v>
      </c>
      <c r="F87" s="8">
        <v>83</v>
      </c>
      <c r="G87" s="8">
        <v>11</v>
      </c>
      <c r="H87" s="7">
        <f>341+39+45+79</f>
        <v>504</v>
      </c>
      <c r="I87" s="15">
        <f t="shared" si="7"/>
        <v>744</v>
      </c>
      <c r="J87" s="10">
        <v>45799</v>
      </c>
      <c r="K87" s="10">
        <v>45829</v>
      </c>
      <c r="L87" s="11" t="s">
        <v>284</v>
      </c>
      <c r="M87" s="12">
        <f t="shared" si="8"/>
        <v>77688883.439999998</v>
      </c>
    </row>
    <row r="88" spans="1:13">
      <c r="A88" s="7">
        <v>85</v>
      </c>
      <c r="B88" s="7">
        <v>3</v>
      </c>
      <c r="C88" s="15">
        <v>1</v>
      </c>
      <c r="D88" s="15">
        <v>6</v>
      </c>
      <c r="E88" s="7">
        <v>9538</v>
      </c>
      <c r="F88" s="8">
        <v>87</v>
      </c>
      <c r="G88" s="8">
        <v>2</v>
      </c>
      <c r="H88" s="7">
        <f>341+79</f>
        <v>420</v>
      </c>
      <c r="I88" s="15">
        <f t="shared" si="7"/>
        <v>720</v>
      </c>
      <c r="J88" s="10">
        <v>45801</v>
      </c>
      <c r="K88" s="10">
        <v>45830</v>
      </c>
      <c r="L88" s="11" t="s">
        <v>285</v>
      </c>
      <c r="M88" s="12">
        <f t="shared" si="8"/>
        <v>64740736.199999996</v>
      </c>
    </row>
    <row r="89" spans="1:13" ht="31.5">
      <c r="A89" s="7">
        <v>86</v>
      </c>
      <c r="B89" s="7">
        <v>4</v>
      </c>
      <c r="C89" s="15">
        <v>1</v>
      </c>
      <c r="D89" s="15">
        <v>6</v>
      </c>
      <c r="E89" s="7">
        <v>9536</v>
      </c>
      <c r="F89" s="8">
        <v>83</v>
      </c>
      <c r="G89" s="8">
        <v>11</v>
      </c>
      <c r="H89" s="7">
        <f>45+164+39+29+79</f>
        <v>356</v>
      </c>
      <c r="I89" s="15">
        <f t="shared" si="7"/>
        <v>528</v>
      </c>
      <c r="J89" s="10">
        <v>45809</v>
      </c>
      <c r="K89" s="10">
        <v>45830</v>
      </c>
      <c r="L89" s="11" t="s">
        <v>288</v>
      </c>
      <c r="M89" s="12">
        <f>H89*154144.61-100000</f>
        <v>54775481.159999996</v>
      </c>
    </row>
    <row r="90" spans="1:13">
      <c r="A90" s="7">
        <v>87</v>
      </c>
      <c r="B90" s="7">
        <v>11</v>
      </c>
      <c r="C90" s="15">
        <v>1</v>
      </c>
      <c r="D90" s="15">
        <v>6</v>
      </c>
      <c r="E90" s="7">
        <v>8862</v>
      </c>
      <c r="F90" s="8">
        <v>57</v>
      </c>
      <c r="G90" s="8">
        <v>8</v>
      </c>
      <c r="H90" s="7">
        <f>234+39+29+79</f>
        <v>381</v>
      </c>
      <c r="I90" s="15">
        <f t="shared" si="7"/>
        <v>264</v>
      </c>
      <c r="J90" s="10">
        <v>45825</v>
      </c>
      <c r="K90" s="10">
        <v>45835</v>
      </c>
      <c r="L90" s="11" t="s">
        <v>286</v>
      </c>
      <c r="M90" s="12">
        <f>H90*154144.61</f>
        <v>58729096.409999996</v>
      </c>
    </row>
    <row r="91" spans="1:13">
      <c r="A91" s="7">
        <v>88</v>
      </c>
      <c r="B91" s="7">
        <v>2</v>
      </c>
      <c r="C91" s="15">
        <v>1</v>
      </c>
      <c r="D91" s="15">
        <v>6</v>
      </c>
      <c r="E91" s="7">
        <v>87</v>
      </c>
      <c r="F91" s="8">
        <v>87</v>
      </c>
      <c r="G91" s="8">
        <v>2</v>
      </c>
      <c r="H91" s="7">
        <f>112+39+29+37+79</f>
        <v>296</v>
      </c>
      <c r="I91" s="15">
        <f t="shared" si="7"/>
        <v>360</v>
      </c>
      <c r="J91" s="10">
        <v>45824</v>
      </c>
      <c r="K91" s="10">
        <v>45838</v>
      </c>
      <c r="L91" s="11" t="s">
        <v>269</v>
      </c>
      <c r="M91" s="12">
        <f>H91*154144.61</f>
        <v>45626804.559999995</v>
      </c>
    </row>
    <row r="92" spans="1:13">
      <c r="A92" s="7">
        <v>89</v>
      </c>
      <c r="B92" s="7">
        <v>3</v>
      </c>
      <c r="C92" s="15">
        <v>1</v>
      </c>
      <c r="D92" s="15">
        <v>6</v>
      </c>
      <c r="E92" s="7">
        <v>4463</v>
      </c>
      <c r="F92" s="8" t="s">
        <v>27</v>
      </c>
      <c r="G92" s="8" t="s">
        <v>15</v>
      </c>
      <c r="H92" s="7">
        <f>140+39+66</f>
        <v>245</v>
      </c>
      <c r="I92" s="15">
        <f t="shared" si="7"/>
        <v>144</v>
      </c>
      <c r="J92" s="10">
        <v>45831</v>
      </c>
      <c r="K92" s="10">
        <v>45836</v>
      </c>
      <c r="L92" s="11" t="s">
        <v>86</v>
      </c>
      <c r="M92" s="12">
        <f>H92*154144.61-100000</f>
        <v>37665429.449999996</v>
      </c>
    </row>
    <row r="93" spans="1:13" ht="31.5">
      <c r="A93" s="7">
        <v>90</v>
      </c>
      <c r="B93" s="15">
        <v>1</v>
      </c>
      <c r="C93" s="15">
        <v>1</v>
      </c>
      <c r="D93" s="15">
        <v>7</v>
      </c>
      <c r="E93" s="7">
        <v>3314</v>
      </c>
      <c r="F93" s="8">
        <v>88</v>
      </c>
      <c r="G93" s="8">
        <v>2</v>
      </c>
      <c r="H93" s="7">
        <f>45+164+39+29+37+79</f>
        <v>393</v>
      </c>
      <c r="I93" s="9">
        <f t="shared" si="7"/>
        <v>504</v>
      </c>
      <c r="J93" s="10">
        <v>45820</v>
      </c>
      <c r="K93" s="10">
        <v>45840</v>
      </c>
      <c r="L93" s="11" t="s">
        <v>305</v>
      </c>
      <c r="M93" s="12">
        <f>H93*154144.61</f>
        <v>60578831.729999997</v>
      </c>
    </row>
    <row r="94" spans="1:13">
      <c r="A94" s="7">
        <v>91</v>
      </c>
      <c r="B94" s="7">
        <v>7</v>
      </c>
      <c r="C94" s="15">
        <v>1</v>
      </c>
      <c r="D94" s="15">
        <v>7</v>
      </c>
      <c r="E94" s="7">
        <v>6854</v>
      </c>
      <c r="F94" s="8">
        <v>88</v>
      </c>
      <c r="G94" s="8">
        <v>2</v>
      </c>
      <c r="H94" s="7">
        <f>137+29+79</f>
        <v>245</v>
      </c>
      <c r="I94" s="9">
        <f t="shared" si="7"/>
        <v>168</v>
      </c>
      <c r="J94" s="10">
        <v>45839</v>
      </c>
      <c r="K94" s="10">
        <v>45845</v>
      </c>
      <c r="L94" s="11" t="s">
        <v>308</v>
      </c>
      <c r="M94" s="12">
        <f>H94*154144.61</f>
        <v>37765429.449999996</v>
      </c>
    </row>
    <row r="95" spans="1:13" ht="31.5">
      <c r="A95" s="7">
        <v>92</v>
      </c>
      <c r="B95" s="7">
        <v>36</v>
      </c>
      <c r="C95" s="15">
        <v>1</v>
      </c>
      <c r="D95" s="15">
        <v>7</v>
      </c>
      <c r="E95" s="7">
        <v>204</v>
      </c>
      <c r="F95" s="8">
        <v>84</v>
      </c>
      <c r="G95" s="8">
        <v>11</v>
      </c>
      <c r="H95" s="7">
        <f>164+234+37+79</f>
        <v>514</v>
      </c>
      <c r="I95" s="15">
        <f t="shared" si="7"/>
        <v>1104</v>
      </c>
      <c r="J95" s="10">
        <v>45803</v>
      </c>
      <c r="K95" s="10">
        <v>45848</v>
      </c>
      <c r="L95" s="11" t="s">
        <v>306</v>
      </c>
      <c r="M95" s="12">
        <f>H95*154144.61</f>
        <v>79230329.539999992</v>
      </c>
    </row>
    <row r="96" spans="1:13">
      <c r="A96" s="7">
        <v>93</v>
      </c>
      <c r="B96" s="7">
        <v>11</v>
      </c>
      <c r="C96" s="15">
        <v>1</v>
      </c>
      <c r="D96" s="15">
        <v>7</v>
      </c>
      <c r="E96" s="7">
        <v>4109</v>
      </c>
      <c r="F96" s="8">
        <v>57</v>
      </c>
      <c r="G96" s="8">
        <v>8</v>
      </c>
      <c r="H96" s="7">
        <f>140+234+79</f>
        <v>453</v>
      </c>
      <c r="I96" s="15">
        <f t="shared" si="7"/>
        <v>360</v>
      </c>
      <c r="J96" s="10">
        <v>45836</v>
      </c>
      <c r="K96" s="10">
        <v>45850</v>
      </c>
      <c r="L96" s="11" t="s">
        <v>258</v>
      </c>
      <c r="M96" s="12">
        <f>H96*154144.61</f>
        <v>69827508.329999998</v>
      </c>
    </row>
    <row r="97" spans="1:13" ht="31.5">
      <c r="A97" s="7">
        <v>94</v>
      </c>
      <c r="B97" s="7">
        <v>10</v>
      </c>
      <c r="C97" s="15">
        <v>1</v>
      </c>
      <c r="D97" s="15">
        <v>7</v>
      </c>
      <c r="E97" s="7">
        <v>3306</v>
      </c>
      <c r="F97" s="8">
        <v>87</v>
      </c>
      <c r="G97" s="8">
        <v>2</v>
      </c>
      <c r="H97" s="7">
        <f>164+39+29+79</f>
        <v>311</v>
      </c>
      <c r="I97" s="15">
        <f t="shared" si="7"/>
        <v>360</v>
      </c>
      <c r="J97" s="10">
        <v>45836</v>
      </c>
      <c r="K97" s="10">
        <v>45850</v>
      </c>
      <c r="L97" s="11" t="s">
        <v>307</v>
      </c>
      <c r="M97" s="12">
        <f>H97*154144.61</f>
        <v>47938973.709999993</v>
      </c>
    </row>
    <row r="98" spans="1:13">
      <c r="A98" s="7">
        <v>95</v>
      </c>
      <c r="B98" s="7">
        <v>5</v>
      </c>
      <c r="C98" s="15">
        <v>1</v>
      </c>
      <c r="D98" s="15">
        <v>7</v>
      </c>
      <c r="E98" s="7">
        <v>79</v>
      </c>
      <c r="F98" s="8" t="s">
        <v>294</v>
      </c>
      <c r="G98" s="8" t="s">
        <v>295</v>
      </c>
      <c r="H98" s="7">
        <f>137+39+234+66</f>
        <v>476</v>
      </c>
      <c r="I98" s="15">
        <f t="shared" si="7"/>
        <v>528</v>
      </c>
      <c r="J98" s="10">
        <v>45828</v>
      </c>
      <c r="K98" s="10">
        <v>45849</v>
      </c>
      <c r="L98" s="11" t="s">
        <v>309</v>
      </c>
      <c r="M98" s="12">
        <f>H98*154144.61-80000</f>
        <v>73292834.359999999</v>
      </c>
    </row>
    <row r="99" spans="1:13" ht="16.5">
      <c r="A99" s="7">
        <v>96</v>
      </c>
      <c r="B99" s="7">
        <v>1</v>
      </c>
      <c r="C99" s="15">
        <v>1</v>
      </c>
      <c r="D99" s="15">
        <v>7</v>
      </c>
      <c r="E99" s="7">
        <v>2871</v>
      </c>
      <c r="F99" s="8">
        <v>87</v>
      </c>
      <c r="G99" s="8">
        <v>2</v>
      </c>
      <c r="H99" s="7">
        <f>140+39+79</f>
        <v>258</v>
      </c>
      <c r="I99" s="15">
        <f t="shared" si="7"/>
        <v>240</v>
      </c>
      <c r="J99" s="10">
        <v>45842</v>
      </c>
      <c r="K99" s="10">
        <v>45851</v>
      </c>
      <c r="L99" s="19" t="s">
        <v>40</v>
      </c>
      <c r="M99" s="12">
        <f>H99*154144.61-100000</f>
        <v>39669309.379999995</v>
      </c>
    </row>
    <row r="100" spans="1:13" ht="16.5">
      <c r="A100" s="7">
        <v>97</v>
      </c>
      <c r="B100" s="7">
        <v>4</v>
      </c>
      <c r="C100" s="15">
        <v>1</v>
      </c>
      <c r="D100" s="15">
        <v>7</v>
      </c>
      <c r="E100" s="7">
        <v>6734</v>
      </c>
      <c r="F100" s="8">
        <v>89</v>
      </c>
      <c r="G100" s="8">
        <v>2</v>
      </c>
      <c r="H100" s="7">
        <f>140+39+79</f>
        <v>258</v>
      </c>
      <c r="I100" s="15">
        <f t="shared" si="7"/>
        <v>192</v>
      </c>
      <c r="J100" s="10">
        <v>45846</v>
      </c>
      <c r="K100" s="10">
        <v>45853</v>
      </c>
      <c r="L100" s="19" t="s">
        <v>40</v>
      </c>
      <c r="M100" s="12">
        <f>H100*154144.61-100000</f>
        <v>39669309.379999995</v>
      </c>
    </row>
    <row r="101" spans="1:13" ht="16.5">
      <c r="A101" s="7">
        <v>98</v>
      </c>
      <c r="B101" s="7">
        <v>2</v>
      </c>
      <c r="C101" s="15">
        <v>1</v>
      </c>
      <c r="D101" s="15">
        <v>7</v>
      </c>
      <c r="E101" s="7">
        <v>6032</v>
      </c>
      <c r="F101" s="8">
        <v>13</v>
      </c>
      <c r="G101" s="8">
        <v>8</v>
      </c>
      <c r="H101" s="7">
        <f>392+29</f>
        <v>421</v>
      </c>
      <c r="I101" s="15">
        <f t="shared" si="7"/>
        <v>456</v>
      </c>
      <c r="J101" s="10">
        <v>45838</v>
      </c>
      <c r="K101" s="10">
        <v>45856</v>
      </c>
      <c r="L101" s="19" t="s">
        <v>275</v>
      </c>
      <c r="M101" s="12">
        <f t="shared" ref="M101:M115" si="9">H101*154144.61</f>
        <v>64894880.809999995</v>
      </c>
    </row>
    <row r="102" spans="1:13" ht="31.5">
      <c r="A102" s="7">
        <v>99</v>
      </c>
      <c r="B102" s="7">
        <v>12</v>
      </c>
      <c r="C102" s="15">
        <v>1</v>
      </c>
      <c r="D102" s="15">
        <v>7</v>
      </c>
      <c r="E102" s="7">
        <v>3274</v>
      </c>
      <c r="F102" s="8">
        <v>84</v>
      </c>
      <c r="G102" s="8">
        <v>11</v>
      </c>
      <c r="H102" s="7">
        <f>164+37+234+72</f>
        <v>507</v>
      </c>
      <c r="I102" s="15">
        <f t="shared" si="7"/>
        <v>456</v>
      </c>
      <c r="J102" s="10">
        <v>45838</v>
      </c>
      <c r="K102" s="10">
        <v>45856</v>
      </c>
      <c r="L102" s="11" t="s">
        <v>348</v>
      </c>
      <c r="M102" s="12">
        <f t="shared" si="9"/>
        <v>78151317.269999996</v>
      </c>
    </row>
    <row r="103" spans="1:13" ht="16.5">
      <c r="A103" s="7">
        <v>100</v>
      </c>
      <c r="B103" s="7">
        <v>3</v>
      </c>
      <c r="C103" s="15">
        <v>1</v>
      </c>
      <c r="D103" s="15">
        <v>7</v>
      </c>
      <c r="E103" s="7">
        <v>3884</v>
      </c>
      <c r="F103" s="8">
        <v>88</v>
      </c>
      <c r="G103" s="8">
        <v>2</v>
      </c>
      <c r="H103" s="7">
        <f>140+39+79</f>
        <v>258</v>
      </c>
      <c r="I103" s="15">
        <f t="shared" si="7"/>
        <v>504</v>
      </c>
      <c r="J103" s="10">
        <v>45837</v>
      </c>
      <c r="K103" s="10">
        <v>45857</v>
      </c>
      <c r="L103" s="19" t="s">
        <v>40</v>
      </c>
      <c r="M103" s="12">
        <f t="shared" si="9"/>
        <v>39769309.379999995</v>
      </c>
    </row>
    <row r="104" spans="1:13" ht="16.5">
      <c r="A104" s="7">
        <v>101</v>
      </c>
      <c r="B104" s="7">
        <v>11</v>
      </c>
      <c r="C104" s="15">
        <v>1</v>
      </c>
      <c r="D104" s="15">
        <v>7</v>
      </c>
      <c r="E104" s="7">
        <v>3256</v>
      </c>
      <c r="F104" s="8">
        <v>7</v>
      </c>
      <c r="G104" s="8">
        <v>8</v>
      </c>
      <c r="H104" s="7">
        <f>140+39+79</f>
        <v>258</v>
      </c>
      <c r="I104" s="15">
        <f t="shared" si="7"/>
        <v>312</v>
      </c>
      <c r="J104" s="10">
        <v>45851</v>
      </c>
      <c r="K104" s="10">
        <v>45863</v>
      </c>
      <c r="L104" s="19" t="s">
        <v>40</v>
      </c>
      <c r="M104" s="12">
        <f t="shared" si="9"/>
        <v>39769309.379999995</v>
      </c>
    </row>
    <row r="105" spans="1:13" ht="16.5">
      <c r="A105" s="7">
        <v>102</v>
      </c>
      <c r="B105" s="7">
        <v>4</v>
      </c>
      <c r="C105" s="15">
        <v>1</v>
      </c>
      <c r="D105" s="15">
        <v>7</v>
      </c>
      <c r="E105" s="7">
        <v>4286</v>
      </c>
      <c r="F105" s="8">
        <v>57</v>
      </c>
      <c r="G105" s="8">
        <v>8</v>
      </c>
      <c r="H105" s="7">
        <f>140+39+79</f>
        <v>258</v>
      </c>
      <c r="I105" s="15">
        <f t="shared" si="7"/>
        <v>240</v>
      </c>
      <c r="J105" s="10">
        <v>45854</v>
      </c>
      <c r="K105" s="10">
        <v>45863</v>
      </c>
      <c r="L105" s="19" t="s">
        <v>40</v>
      </c>
      <c r="M105" s="12">
        <f t="shared" si="9"/>
        <v>39769309.379999995</v>
      </c>
    </row>
    <row r="106" spans="1:13">
      <c r="A106" s="7">
        <v>103</v>
      </c>
      <c r="B106" s="7">
        <v>5</v>
      </c>
      <c r="C106" s="15">
        <v>1</v>
      </c>
      <c r="D106" s="15">
        <v>7</v>
      </c>
      <c r="E106" s="7">
        <v>6535</v>
      </c>
      <c r="F106" s="8">
        <v>90</v>
      </c>
      <c r="G106" s="8">
        <v>2</v>
      </c>
      <c r="H106" s="7">
        <f>112+39+29+79</f>
        <v>259</v>
      </c>
      <c r="I106" s="15">
        <f t="shared" si="7"/>
        <v>360</v>
      </c>
      <c r="J106" s="10">
        <v>45850</v>
      </c>
      <c r="K106" s="10">
        <v>45864</v>
      </c>
      <c r="L106" s="11" t="s">
        <v>80</v>
      </c>
      <c r="M106" s="12">
        <f t="shared" si="9"/>
        <v>39923453.989999995</v>
      </c>
    </row>
    <row r="107" spans="1:13" ht="16.5">
      <c r="A107" s="7">
        <v>104</v>
      </c>
      <c r="B107" s="7">
        <v>2</v>
      </c>
      <c r="C107" s="15">
        <v>1</v>
      </c>
      <c r="D107" s="15">
        <v>7</v>
      </c>
      <c r="E107" s="7">
        <v>9719</v>
      </c>
      <c r="F107" s="8">
        <v>89</v>
      </c>
      <c r="G107" s="8">
        <v>2</v>
      </c>
      <c r="H107" s="7">
        <f>140+39+79</f>
        <v>258</v>
      </c>
      <c r="I107" s="15">
        <f t="shared" si="7"/>
        <v>240</v>
      </c>
      <c r="J107" s="10">
        <v>45857</v>
      </c>
      <c r="K107" s="10">
        <v>45866</v>
      </c>
      <c r="L107" s="19" t="s">
        <v>40</v>
      </c>
      <c r="M107" s="12">
        <f t="shared" si="9"/>
        <v>39769309.379999995</v>
      </c>
    </row>
    <row r="108" spans="1:13" ht="16.5">
      <c r="A108" s="7">
        <v>105</v>
      </c>
      <c r="B108" s="7">
        <v>7</v>
      </c>
      <c r="C108" s="15">
        <v>1</v>
      </c>
      <c r="D108" s="15">
        <v>7</v>
      </c>
      <c r="E108" s="7">
        <v>4128</v>
      </c>
      <c r="F108" s="8">
        <v>85</v>
      </c>
      <c r="G108" s="8">
        <v>11</v>
      </c>
      <c r="H108" s="7">
        <f>221+112+29+79</f>
        <v>441</v>
      </c>
      <c r="I108" s="15">
        <f t="shared" ref="I108:I139" si="10">(K108-J108+1)*24</f>
        <v>480</v>
      </c>
      <c r="J108" s="10">
        <v>45846</v>
      </c>
      <c r="K108" s="10">
        <v>45865</v>
      </c>
      <c r="L108" s="19" t="s">
        <v>310</v>
      </c>
      <c r="M108" s="12">
        <f t="shared" si="9"/>
        <v>67977773.00999999</v>
      </c>
    </row>
    <row r="109" spans="1:13" ht="16.5">
      <c r="A109" s="7">
        <v>106</v>
      </c>
      <c r="B109" s="7">
        <v>36</v>
      </c>
      <c r="C109" s="15">
        <v>1</v>
      </c>
      <c r="D109" s="15">
        <v>7</v>
      </c>
      <c r="E109" s="7">
        <v>4136</v>
      </c>
      <c r="F109" s="8">
        <v>4</v>
      </c>
      <c r="G109" s="8">
        <v>11</v>
      </c>
      <c r="H109" s="7">
        <f>140+39+37+79</f>
        <v>295</v>
      </c>
      <c r="I109" s="15">
        <f t="shared" si="10"/>
        <v>408</v>
      </c>
      <c r="J109" s="10">
        <v>45849</v>
      </c>
      <c r="K109" s="10">
        <v>45865</v>
      </c>
      <c r="L109" s="19" t="s">
        <v>62</v>
      </c>
      <c r="M109" s="12">
        <f t="shared" si="9"/>
        <v>45472659.949999996</v>
      </c>
    </row>
    <row r="110" spans="1:13">
      <c r="A110" s="7">
        <v>107</v>
      </c>
      <c r="B110" s="15">
        <v>6</v>
      </c>
      <c r="C110" s="15">
        <v>1</v>
      </c>
      <c r="D110" s="15">
        <v>8</v>
      </c>
      <c r="E110" s="7">
        <v>2468</v>
      </c>
      <c r="F110" s="8">
        <v>55</v>
      </c>
      <c r="G110" s="8">
        <v>8</v>
      </c>
      <c r="H110" s="7">
        <f>392+29+79</f>
        <v>500</v>
      </c>
      <c r="I110" s="9">
        <f t="shared" si="10"/>
        <v>840</v>
      </c>
      <c r="J110" s="10">
        <v>45838</v>
      </c>
      <c r="K110" s="10">
        <v>45872</v>
      </c>
      <c r="L110" s="11" t="s">
        <v>275</v>
      </c>
      <c r="M110" s="12">
        <f t="shared" si="9"/>
        <v>77072305</v>
      </c>
    </row>
    <row r="111" spans="1:13">
      <c r="A111" s="7">
        <v>108</v>
      </c>
      <c r="B111" s="7">
        <v>5</v>
      </c>
      <c r="C111" s="15">
        <v>1</v>
      </c>
      <c r="D111" s="15">
        <v>8</v>
      </c>
      <c r="E111" s="7">
        <v>5992</v>
      </c>
      <c r="F111" s="8">
        <v>91</v>
      </c>
      <c r="G111" s="8">
        <v>2</v>
      </c>
      <c r="H111" s="7">
        <f>140+39+79</f>
        <v>258</v>
      </c>
      <c r="I111" s="9">
        <f t="shared" si="10"/>
        <v>216</v>
      </c>
      <c r="J111" s="10">
        <v>45865</v>
      </c>
      <c r="K111" s="10">
        <v>45873</v>
      </c>
      <c r="L111" s="11" t="s">
        <v>86</v>
      </c>
      <c r="M111" s="12">
        <f t="shared" si="9"/>
        <v>39769309.379999995</v>
      </c>
    </row>
    <row r="112" spans="1:13">
      <c r="A112" s="7">
        <v>109</v>
      </c>
      <c r="B112" s="7">
        <v>7</v>
      </c>
      <c r="C112" s="15">
        <v>1</v>
      </c>
      <c r="D112" s="15">
        <v>8</v>
      </c>
      <c r="E112" s="7">
        <v>5068</v>
      </c>
      <c r="F112" s="8">
        <v>87</v>
      </c>
      <c r="G112" s="8">
        <v>2</v>
      </c>
      <c r="H112" s="7">
        <f>140+39+37+72</f>
        <v>288</v>
      </c>
      <c r="I112" s="9">
        <f t="shared" si="10"/>
        <v>264</v>
      </c>
      <c r="J112" s="10">
        <v>45866</v>
      </c>
      <c r="K112" s="10">
        <v>45876</v>
      </c>
      <c r="L112" s="11" t="s">
        <v>350</v>
      </c>
      <c r="M112" s="12">
        <f t="shared" si="9"/>
        <v>44393647.679999992</v>
      </c>
    </row>
    <row r="113" spans="1:13" ht="31.5">
      <c r="A113" s="7">
        <v>110</v>
      </c>
      <c r="B113" s="7">
        <v>12</v>
      </c>
      <c r="C113" s="15">
        <v>1</v>
      </c>
      <c r="D113" s="15">
        <v>8</v>
      </c>
      <c r="E113" s="7">
        <v>4131</v>
      </c>
      <c r="F113" s="8">
        <v>84</v>
      </c>
      <c r="G113" s="8">
        <v>11</v>
      </c>
      <c r="H113" s="7">
        <f>147+29+39+37+79</f>
        <v>331</v>
      </c>
      <c r="I113" s="9">
        <f t="shared" si="10"/>
        <v>528</v>
      </c>
      <c r="J113" s="10">
        <v>45857</v>
      </c>
      <c r="K113" s="10">
        <v>45878</v>
      </c>
      <c r="L113" s="11" t="s">
        <v>351</v>
      </c>
      <c r="M113" s="12">
        <f t="shared" si="9"/>
        <v>51021865.909999996</v>
      </c>
    </row>
    <row r="114" spans="1:13">
      <c r="A114" s="7">
        <v>111</v>
      </c>
      <c r="B114" s="7">
        <v>11</v>
      </c>
      <c r="C114" s="15">
        <v>1</v>
      </c>
      <c r="D114" s="15">
        <v>8</v>
      </c>
      <c r="E114" s="7">
        <v>3239</v>
      </c>
      <c r="F114" s="8">
        <v>55</v>
      </c>
      <c r="G114" s="8">
        <v>8</v>
      </c>
      <c r="H114" s="7">
        <f>112+39+29+79</f>
        <v>259</v>
      </c>
      <c r="I114" s="15">
        <f t="shared" si="10"/>
        <v>384</v>
      </c>
      <c r="J114" s="10">
        <v>45864</v>
      </c>
      <c r="K114" s="10">
        <v>45879</v>
      </c>
      <c r="L114" s="11" t="s">
        <v>188</v>
      </c>
      <c r="M114" s="12">
        <f t="shared" si="9"/>
        <v>39923453.989999995</v>
      </c>
    </row>
    <row r="115" spans="1:13">
      <c r="A115" s="7">
        <v>112</v>
      </c>
      <c r="B115" s="7">
        <v>1</v>
      </c>
      <c r="C115" s="15">
        <v>1</v>
      </c>
      <c r="D115" s="15">
        <v>8</v>
      </c>
      <c r="E115" s="7">
        <v>5961</v>
      </c>
      <c r="F115" s="8">
        <v>89</v>
      </c>
      <c r="G115" s="8">
        <v>2</v>
      </c>
      <c r="H115" s="7">
        <f>177+112+39+29+79</f>
        <v>436</v>
      </c>
      <c r="I115" s="15">
        <f t="shared" si="10"/>
        <v>744</v>
      </c>
      <c r="J115" s="10">
        <v>45852</v>
      </c>
      <c r="K115" s="10">
        <v>45882</v>
      </c>
      <c r="L115" s="11" t="s">
        <v>352</v>
      </c>
      <c r="M115" s="12">
        <f t="shared" si="9"/>
        <v>67207049.959999993</v>
      </c>
    </row>
    <row r="116" spans="1:13" ht="33">
      <c r="A116" s="7">
        <v>113</v>
      </c>
      <c r="B116" s="7">
        <v>9</v>
      </c>
      <c r="C116" s="15">
        <v>1</v>
      </c>
      <c r="D116" s="15">
        <v>8</v>
      </c>
      <c r="E116" s="7">
        <v>5989</v>
      </c>
      <c r="F116" s="8" t="s">
        <v>294</v>
      </c>
      <c r="G116" s="8" t="s">
        <v>295</v>
      </c>
      <c r="H116" s="7">
        <f>140+39+234+71</f>
        <v>484</v>
      </c>
      <c r="I116" s="15">
        <f t="shared" si="10"/>
        <v>816</v>
      </c>
      <c r="J116" s="10">
        <v>45849</v>
      </c>
      <c r="K116" s="10">
        <v>45882</v>
      </c>
      <c r="L116" s="19" t="s">
        <v>94</v>
      </c>
      <c r="M116" s="12">
        <f>H116*154144.61-200000</f>
        <v>74405991.239999995</v>
      </c>
    </row>
    <row r="117" spans="1:13" ht="33">
      <c r="A117" s="7">
        <v>114</v>
      </c>
      <c r="B117" s="7">
        <v>5</v>
      </c>
      <c r="C117" s="15">
        <v>1</v>
      </c>
      <c r="D117" s="15">
        <v>8</v>
      </c>
      <c r="E117" s="7">
        <v>9444</v>
      </c>
      <c r="F117" s="8">
        <v>55</v>
      </c>
      <c r="G117" s="8">
        <v>8</v>
      </c>
      <c r="H117" s="7">
        <f>166+39+29+79</f>
        <v>313</v>
      </c>
      <c r="I117" s="15">
        <f t="shared" si="10"/>
        <v>456</v>
      </c>
      <c r="J117" s="10">
        <v>45874</v>
      </c>
      <c r="K117" s="10">
        <v>45892</v>
      </c>
      <c r="L117" s="19" t="s">
        <v>353</v>
      </c>
      <c r="M117" s="12">
        <f>H117*154144.61</f>
        <v>48247262.929999992</v>
      </c>
    </row>
    <row r="118" spans="1:13" ht="16.5">
      <c r="A118" s="7">
        <v>115</v>
      </c>
      <c r="B118" s="7">
        <v>10</v>
      </c>
      <c r="C118" s="15">
        <v>1</v>
      </c>
      <c r="D118" s="15">
        <v>8</v>
      </c>
      <c r="E118" s="7">
        <v>9336</v>
      </c>
      <c r="F118" s="8">
        <v>83</v>
      </c>
      <c r="G118" s="8">
        <v>11</v>
      </c>
      <c r="H118" s="7">
        <f>39+112+234+79</f>
        <v>464</v>
      </c>
      <c r="I118" s="15">
        <f t="shared" si="10"/>
        <v>1008</v>
      </c>
      <c r="J118" s="10">
        <v>45851</v>
      </c>
      <c r="K118" s="10">
        <v>45892</v>
      </c>
      <c r="L118" s="19" t="s">
        <v>363</v>
      </c>
      <c r="M118" s="12">
        <f>H118*154144.61</f>
        <v>71523099.039999992</v>
      </c>
    </row>
    <row r="119" spans="1:13">
      <c r="A119" s="7">
        <v>116</v>
      </c>
      <c r="B119" s="7">
        <v>4</v>
      </c>
      <c r="C119" s="15">
        <v>1</v>
      </c>
      <c r="D119" s="15">
        <v>8</v>
      </c>
      <c r="E119" s="7">
        <v>9722</v>
      </c>
      <c r="F119" s="8">
        <v>91</v>
      </c>
      <c r="G119" s="8">
        <v>2</v>
      </c>
      <c r="H119" s="7">
        <f>392+234+79</f>
        <v>705</v>
      </c>
      <c r="I119" s="15">
        <f t="shared" si="10"/>
        <v>768</v>
      </c>
      <c r="J119" s="10">
        <v>45864</v>
      </c>
      <c r="K119" s="10">
        <v>45895</v>
      </c>
      <c r="L119" s="11" t="s">
        <v>157</v>
      </c>
      <c r="M119" s="12">
        <f>H119*154144.61</f>
        <v>108671950.05</v>
      </c>
    </row>
    <row r="120" spans="1:13">
      <c r="A120" s="7">
        <v>117</v>
      </c>
      <c r="B120" s="15">
        <v>1</v>
      </c>
      <c r="C120" s="15">
        <v>1</v>
      </c>
      <c r="D120" s="15">
        <v>9</v>
      </c>
      <c r="E120" s="7">
        <v>8862</v>
      </c>
      <c r="F120" s="8">
        <v>57</v>
      </c>
      <c r="G120" s="8">
        <v>8</v>
      </c>
      <c r="H120" s="7">
        <f>234</f>
        <v>234</v>
      </c>
      <c r="I120" s="9">
        <f t="shared" si="10"/>
        <v>456</v>
      </c>
      <c r="J120" s="10">
        <v>45883</v>
      </c>
      <c r="K120" s="10">
        <v>45901</v>
      </c>
      <c r="L120" s="11" t="s">
        <v>22</v>
      </c>
      <c r="M120" s="12">
        <f>H120*154144.61</f>
        <v>36069838.739999995</v>
      </c>
    </row>
    <row r="121" spans="1:13">
      <c r="A121" s="7">
        <v>118</v>
      </c>
      <c r="B121" s="7">
        <v>36</v>
      </c>
      <c r="C121" s="15">
        <v>1</v>
      </c>
      <c r="D121" s="15">
        <v>9</v>
      </c>
      <c r="E121" s="7">
        <v>5944</v>
      </c>
      <c r="F121" s="8">
        <v>13</v>
      </c>
      <c r="G121" s="8">
        <v>8</v>
      </c>
      <c r="H121" s="7">
        <f>164+39+29+72</f>
        <v>304</v>
      </c>
      <c r="I121" s="9">
        <f t="shared" si="10"/>
        <v>864</v>
      </c>
      <c r="J121" s="10">
        <v>45866</v>
      </c>
      <c r="K121" s="10">
        <v>45901</v>
      </c>
      <c r="L121" s="11" t="s">
        <v>397</v>
      </c>
      <c r="M121" s="12">
        <f>H121*154144.61-108000</f>
        <v>46751961.439999998</v>
      </c>
    </row>
    <row r="122" spans="1:13">
      <c r="A122" s="7">
        <v>119</v>
      </c>
      <c r="B122" s="7">
        <v>11</v>
      </c>
      <c r="C122" s="15">
        <v>1</v>
      </c>
      <c r="D122" s="15">
        <v>9</v>
      </c>
      <c r="E122" s="7">
        <v>2733</v>
      </c>
      <c r="F122" s="8">
        <v>54</v>
      </c>
      <c r="G122" s="8">
        <v>11</v>
      </c>
      <c r="H122" s="7">
        <f>221+29+72</f>
        <v>322</v>
      </c>
      <c r="I122" s="9">
        <f t="shared" si="10"/>
        <v>288</v>
      </c>
      <c r="J122" s="10">
        <v>45891</v>
      </c>
      <c r="K122" s="10">
        <v>45902</v>
      </c>
      <c r="L122" s="11" t="s">
        <v>127</v>
      </c>
      <c r="M122" s="12">
        <f t="shared" ref="M122:M137" si="11">H122*154144.61</f>
        <v>49634564.419999994</v>
      </c>
    </row>
    <row r="123" spans="1:13">
      <c r="A123" s="7">
        <v>120</v>
      </c>
      <c r="B123" s="7">
        <v>3</v>
      </c>
      <c r="C123" s="15">
        <v>1</v>
      </c>
      <c r="D123" s="15">
        <v>9</v>
      </c>
      <c r="E123" s="7">
        <v>4489</v>
      </c>
      <c r="F123" s="8" t="s">
        <v>370</v>
      </c>
      <c r="G123" s="8" t="s">
        <v>294</v>
      </c>
      <c r="H123" s="7">
        <f>74+39+71</f>
        <v>184</v>
      </c>
      <c r="I123" s="9">
        <f t="shared" si="10"/>
        <v>288</v>
      </c>
      <c r="J123" s="10">
        <v>45899</v>
      </c>
      <c r="K123" s="10">
        <v>45910</v>
      </c>
      <c r="L123" s="11" t="s">
        <v>366</v>
      </c>
      <c r="M123" s="12">
        <f t="shared" si="11"/>
        <v>28362608.239999998</v>
      </c>
    </row>
    <row r="124" spans="1:13">
      <c r="A124" s="7">
        <v>121</v>
      </c>
      <c r="B124" s="7">
        <v>6</v>
      </c>
      <c r="C124" s="15">
        <v>1</v>
      </c>
      <c r="D124" s="15">
        <v>9</v>
      </c>
      <c r="E124" s="7">
        <v>8072</v>
      </c>
      <c r="F124" s="8" t="s">
        <v>371</v>
      </c>
      <c r="G124" s="8" t="s">
        <v>294</v>
      </c>
      <c r="H124" s="7">
        <f>140+39+71</f>
        <v>250</v>
      </c>
      <c r="I124" s="15">
        <f t="shared" si="10"/>
        <v>720</v>
      </c>
      <c r="J124" s="10">
        <v>45882</v>
      </c>
      <c r="K124" s="10">
        <v>45911</v>
      </c>
      <c r="L124" s="11" t="s">
        <v>40</v>
      </c>
      <c r="M124" s="12">
        <f t="shared" si="11"/>
        <v>38536152.5</v>
      </c>
    </row>
    <row r="125" spans="1:13">
      <c r="A125" s="7">
        <v>122</v>
      </c>
      <c r="B125" s="7">
        <v>1</v>
      </c>
      <c r="C125" s="15">
        <v>1</v>
      </c>
      <c r="D125" s="15">
        <v>9</v>
      </c>
      <c r="E125" s="7">
        <v>4534</v>
      </c>
      <c r="F125" s="8" t="s">
        <v>372</v>
      </c>
      <c r="G125" s="8" t="s">
        <v>294</v>
      </c>
      <c r="H125" s="7">
        <f>221+39+71</f>
        <v>331</v>
      </c>
      <c r="I125" s="15">
        <f t="shared" si="10"/>
        <v>288</v>
      </c>
      <c r="J125" s="10">
        <v>45902</v>
      </c>
      <c r="K125" s="10">
        <v>45913</v>
      </c>
      <c r="L125" s="11" t="s">
        <v>19</v>
      </c>
      <c r="M125" s="12">
        <f t="shared" si="11"/>
        <v>51021865.909999996</v>
      </c>
    </row>
    <row r="126" spans="1:13" ht="33">
      <c r="A126" s="7">
        <v>123</v>
      </c>
      <c r="B126" s="7">
        <v>5</v>
      </c>
      <c r="C126" s="15">
        <v>1</v>
      </c>
      <c r="D126" s="15">
        <v>9</v>
      </c>
      <c r="E126" s="7">
        <v>7271</v>
      </c>
      <c r="F126" s="8">
        <v>54</v>
      </c>
      <c r="G126" s="8">
        <v>11</v>
      </c>
      <c r="H126" s="7">
        <f>221+392+29+72</f>
        <v>714</v>
      </c>
      <c r="I126" s="15">
        <f t="shared" si="10"/>
        <v>576</v>
      </c>
      <c r="J126" s="10">
        <v>45893</v>
      </c>
      <c r="K126" s="10">
        <v>45916</v>
      </c>
      <c r="L126" s="19" t="s">
        <v>384</v>
      </c>
      <c r="M126" s="12">
        <f t="shared" si="11"/>
        <v>110059251.53999999</v>
      </c>
    </row>
    <row r="127" spans="1:13">
      <c r="A127" s="7">
        <v>124</v>
      </c>
      <c r="B127" s="7">
        <v>36</v>
      </c>
      <c r="C127" s="15">
        <v>1</v>
      </c>
      <c r="D127" s="15">
        <v>9</v>
      </c>
      <c r="E127" s="7">
        <v>9061</v>
      </c>
      <c r="F127" s="8">
        <v>83</v>
      </c>
      <c r="G127" s="8">
        <v>11</v>
      </c>
      <c r="H127" s="7">
        <f>39+29+72</f>
        <v>140</v>
      </c>
      <c r="I127" s="15">
        <f t="shared" si="10"/>
        <v>384</v>
      </c>
      <c r="J127" s="10">
        <v>45902</v>
      </c>
      <c r="K127" s="10">
        <v>45917</v>
      </c>
      <c r="L127" s="11" t="s">
        <v>188</v>
      </c>
      <c r="M127" s="12">
        <f t="shared" si="11"/>
        <v>21580245.399999999</v>
      </c>
    </row>
    <row r="128" spans="1:13" ht="31.5">
      <c r="A128" s="7">
        <v>125</v>
      </c>
      <c r="B128" s="7">
        <v>2</v>
      </c>
      <c r="C128" s="15">
        <v>1</v>
      </c>
      <c r="D128" s="15">
        <v>9</v>
      </c>
      <c r="E128" s="7">
        <v>3972</v>
      </c>
      <c r="F128" s="8">
        <v>88</v>
      </c>
      <c r="G128" s="8">
        <v>2</v>
      </c>
      <c r="H128" s="7">
        <f>221+164+234+79</f>
        <v>698</v>
      </c>
      <c r="I128" s="15">
        <f t="shared" si="10"/>
        <v>1248</v>
      </c>
      <c r="J128" s="10">
        <v>45867</v>
      </c>
      <c r="K128" s="10">
        <v>45918</v>
      </c>
      <c r="L128" s="11" t="s">
        <v>385</v>
      </c>
      <c r="M128" s="12">
        <f t="shared" si="11"/>
        <v>107592937.77999999</v>
      </c>
    </row>
    <row r="129" spans="1:13">
      <c r="A129" s="7">
        <v>126</v>
      </c>
      <c r="B129" s="7">
        <v>4</v>
      </c>
      <c r="C129" s="15">
        <v>1</v>
      </c>
      <c r="D129" s="15">
        <v>9</v>
      </c>
      <c r="E129" s="7">
        <v>2729</v>
      </c>
      <c r="F129" s="8">
        <v>13</v>
      </c>
      <c r="G129" s="8">
        <v>8</v>
      </c>
      <c r="H129" s="7">
        <f>221+37+79</f>
        <v>337</v>
      </c>
      <c r="I129" s="15">
        <f t="shared" si="10"/>
        <v>600</v>
      </c>
      <c r="J129" s="10">
        <v>45896</v>
      </c>
      <c r="K129" s="10">
        <v>45920</v>
      </c>
      <c r="L129" s="11" t="s">
        <v>386</v>
      </c>
      <c r="M129" s="12">
        <f t="shared" si="11"/>
        <v>51946733.569999993</v>
      </c>
    </row>
    <row r="130" spans="1:13">
      <c r="A130" s="7">
        <v>127</v>
      </c>
      <c r="B130" s="7">
        <v>7</v>
      </c>
      <c r="C130" s="15">
        <v>1</v>
      </c>
      <c r="D130" s="15">
        <v>9</v>
      </c>
      <c r="E130" s="7">
        <v>5316</v>
      </c>
      <c r="F130" s="8">
        <v>88</v>
      </c>
      <c r="G130" s="8">
        <v>2</v>
      </c>
      <c r="H130" s="7">
        <f>177+112+39+29+79</f>
        <v>436</v>
      </c>
      <c r="I130" s="15">
        <f t="shared" si="10"/>
        <v>1056</v>
      </c>
      <c r="J130" s="10">
        <v>45877</v>
      </c>
      <c r="K130" s="10">
        <v>45920</v>
      </c>
      <c r="L130" s="11" t="s">
        <v>396</v>
      </c>
      <c r="M130" s="12">
        <f t="shared" si="11"/>
        <v>67207049.959999993</v>
      </c>
    </row>
    <row r="131" spans="1:13" ht="16.5">
      <c r="A131" s="7">
        <v>128</v>
      </c>
      <c r="B131" s="7">
        <v>12</v>
      </c>
      <c r="C131" s="15">
        <v>1</v>
      </c>
      <c r="D131" s="15">
        <v>9</v>
      </c>
      <c r="E131" s="7">
        <v>3267</v>
      </c>
      <c r="F131" s="8">
        <v>4</v>
      </c>
      <c r="G131" s="8">
        <v>11</v>
      </c>
      <c r="H131" s="7">
        <f>341+79</f>
        <v>420</v>
      </c>
      <c r="I131" s="15">
        <f t="shared" si="10"/>
        <v>1032</v>
      </c>
      <c r="J131" s="10">
        <v>45879</v>
      </c>
      <c r="K131" s="10">
        <v>45921</v>
      </c>
      <c r="L131" s="19" t="s">
        <v>395</v>
      </c>
      <c r="M131" s="12">
        <f t="shared" si="11"/>
        <v>64740736.199999996</v>
      </c>
    </row>
    <row r="132" spans="1:13">
      <c r="A132" s="7">
        <v>129</v>
      </c>
      <c r="B132" s="7">
        <v>36</v>
      </c>
      <c r="C132" s="15">
        <v>1</v>
      </c>
      <c r="D132" s="15">
        <v>9</v>
      </c>
      <c r="E132" s="7">
        <v>8269</v>
      </c>
      <c r="F132" s="8">
        <v>54</v>
      </c>
      <c r="G132" s="8">
        <v>11</v>
      </c>
      <c r="H132" s="7">
        <f>221+79</f>
        <v>300</v>
      </c>
      <c r="I132" s="15">
        <f t="shared" si="10"/>
        <v>120</v>
      </c>
      <c r="J132" s="10">
        <v>45918</v>
      </c>
      <c r="K132" s="10">
        <v>45922</v>
      </c>
      <c r="L132" s="11" t="s">
        <v>174</v>
      </c>
      <c r="M132" s="12">
        <f t="shared" si="11"/>
        <v>46243382.999999993</v>
      </c>
    </row>
    <row r="133" spans="1:13" ht="33">
      <c r="A133" s="7">
        <v>130</v>
      </c>
      <c r="B133" s="7">
        <v>11</v>
      </c>
      <c r="C133" s="15">
        <v>1</v>
      </c>
      <c r="D133" s="15">
        <v>9</v>
      </c>
      <c r="E133" s="7">
        <v>8363</v>
      </c>
      <c r="F133" s="8">
        <v>83</v>
      </c>
      <c r="G133" s="8">
        <v>11</v>
      </c>
      <c r="H133" s="7">
        <f>166+39+29+72</f>
        <v>306</v>
      </c>
      <c r="I133" s="15">
        <f t="shared" si="10"/>
        <v>480</v>
      </c>
      <c r="J133" s="10">
        <v>45903</v>
      </c>
      <c r="K133" s="10">
        <v>45922</v>
      </c>
      <c r="L133" s="19" t="s">
        <v>376</v>
      </c>
      <c r="M133" s="12">
        <f t="shared" si="11"/>
        <v>47168250.659999996</v>
      </c>
    </row>
    <row r="134" spans="1:13" ht="33">
      <c r="A134" s="7">
        <v>131</v>
      </c>
      <c r="B134" s="7">
        <v>4</v>
      </c>
      <c r="C134" s="15">
        <v>1</v>
      </c>
      <c r="D134" s="15">
        <v>9</v>
      </c>
      <c r="E134" s="7">
        <v>4595</v>
      </c>
      <c r="F134" s="8" t="s">
        <v>381</v>
      </c>
      <c r="G134" s="8" t="s">
        <v>294</v>
      </c>
      <c r="H134" s="7">
        <f>39+74+137+39+66</f>
        <v>355</v>
      </c>
      <c r="I134" s="15">
        <f t="shared" si="10"/>
        <v>168</v>
      </c>
      <c r="J134" s="10">
        <v>45921</v>
      </c>
      <c r="K134" s="10">
        <v>45927</v>
      </c>
      <c r="L134" s="19" t="s">
        <v>399</v>
      </c>
      <c r="M134" s="12">
        <f t="shared" si="11"/>
        <v>54721336.549999997</v>
      </c>
    </row>
    <row r="135" spans="1:13" ht="16.5">
      <c r="A135" s="7">
        <v>132</v>
      </c>
      <c r="B135" s="7">
        <v>11</v>
      </c>
      <c r="C135" s="15">
        <v>1</v>
      </c>
      <c r="D135" s="15">
        <v>9</v>
      </c>
      <c r="E135" s="7">
        <v>6513</v>
      </c>
      <c r="F135" s="8">
        <v>90</v>
      </c>
      <c r="G135" s="8">
        <v>2</v>
      </c>
      <c r="H135" s="7">
        <f>177+72</f>
        <v>249</v>
      </c>
      <c r="I135" s="15">
        <f t="shared" si="10"/>
        <v>120</v>
      </c>
      <c r="J135" s="10">
        <v>45923</v>
      </c>
      <c r="K135" s="10">
        <v>45927</v>
      </c>
      <c r="L135" s="19" t="s">
        <v>189</v>
      </c>
      <c r="M135" s="12">
        <f t="shared" si="11"/>
        <v>38382007.889999993</v>
      </c>
    </row>
    <row r="136" spans="1:13" ht="16.5">
      <c r="A136" s="7">
        <v>133</v>
      </c>
      <c r="B136" s="7">
        <v>2</v>
      </c>
      <c r="C136" s="15">
        <v>1</v>
      </c>
      <c r="D136" s="15">
        <v>9</v>
      </c>
      <c r="E136" s="7">
        <v>7447</v>
      </c>
      <c r="F136" s="8">
        <v>4</v>
      </c>
      <c r="G136" s="8">
        <v>44</v>
      </c>
      <c r="H136" s="7">
        <f>140+39+72</f>
        <v>251</v>
      </c>
      <c r="I136" s="15">
        <f t="shared" si="10"/>
        <v>240</v>
      </c>
      <c r="J136" s="10">
        <v>45919</v>
      </c>
      <c r="K136" s="10">
        <v>45928</v>
      </c>
      <c r="L136" s="19" t="s">
        <v>40</v>
      </c>
      <c r="M136" s="12">
        <f t="shared" si="11"/>
        <v>38690297.109999999</v>
      </c>
    </row>
    <row r="137" spans="1:13" ht="16.5">
      <c r="A137" s="7">
        <v>134</v>
      </c>
      <c r="B137" s="7">
        <v>10</v>
      </c>
      <c r="C137" s="15">
        <v>1</v>
      </c>
      <c r="D137" s="15">
        <v>9</v>
      </c>
      <c r="E137" s="7">
        <v>8304</v>
      </c>
      <c r="F137" s="8">
        <v>83</v>
      </c>
      <c r="G137" s="8">
        <v>11</v>
      </c>
      <c r="H137" s="7">
        <f>392+29+79</f>
        <v>500</v>
      </c>
      <c r="I137" s="15">
        <f t="shared" si="10"/>
        <v>312</v>
      </c>
      <c r="J137" s="10">
        <v>45916</v>
      </c>
      <c r="K137" s="10">
        <v>45928</v>
      </c>
      <c r="L137" s="19" t="s">
        <v>198</v>
      </c>
      <c r="M137" s="12">
        <f t="shared" si="11"/>
        <v>77072305</v>
      </c>
    </row>
    <row r="138" spans="1:13" ht="16.5">
      <c r="A138" s="7">
        <v>135</v>
      </c>
      <c r="B138" s="7">
        <v>1</v>
      </c>
      <c r="C138" s="15">
        <v>1</v>
      </c>
      <c r="D138" s="15">
        <v>9</v>
      </c>
      <c r="E138" s="7">
        <v>3289</v>
      </c>
      <c r="F138" s="8" t="s">
        <v>372</v>
      </c>
      <c r="G138" s="8" t="s">
        <v>294</v>
      </c>
      <c r="H138" s="7">
        <f>39+137+39+66</f>
        <v>281</v>
      </c>
      <c r="I138" s="15">
        <f t="shared" si="10"/>
        <v>408</v>
      </c>
      <c r="J138" s="10">
        <v>45914</v>
      </c>
      <c r="K138" s="10">
        <v>45930</v>
      </c>
      <c r="L138" s="19" t="s">
        <v>398</v>
      </c>
      <c r="M138" s="12">
        <f>H138*154144.61-100000</f>
        <v>43214635.409999996</v>
      </c>
    </row>
    <row r="139" spans="1:13" ht="16.5">
      <c r="A139" s="7">
        <v>136</v>
      </c>
      <c r="B139" s="7">
        <v>3</v>
      </c>
      <c r="C139" s="15">
        <v>1</v>
      </c>
      <c r="D139" s="15">
        <v>9</v>
      </c>
      <c r="E139" s="7">
        <v>203</v>
      </c>
      <c r="F139" s="8">
        <v>84</v>
      </c>
      <c r="G139" s="8">
        <v>11</v>
      </c>
      <c r="H139" s="7">
        <f>221+39+37+29+79</f>
        <v>405</v>
      </c>
      <c r="I139" s="15">
        <f t="shared" si="10"/>
        <v>480</v>
      </c>
      <c r="J139" s="10">
        <v>45911</v>
      </c>
      <c r="K139" s="10">
        <v>45930</v>
      </c>
      <c r="L139" s="19" t="s">
        <v>457</v>
      </c>
      <c r="M139" s="12">
        <f>H139*154144.61</f>
        <v>62428567.049999997</v>
      </c>
    </row>
    <row r="140" spans="1:13">
      <c r="A140" s="7">
        <v>137</v>
      </c>
      <c r="B140" s="15">
        <v>9</v>
      </c>
      <c r="C140" s="15">
        <v>1</v>
      </c>
      <c r="D140" s="15">
        <v>10</v>
      </c>
      <c r="E140" s="7">
        <v>138</v>
      </c>
      <c r="F140" s="8">
        <v>91</v>
      </c>
      <c r="G140" s="8">
        <v>2</v>
      </c>
      <c r="H140" s="7">
        <f>79</f>
        <v>79</v>
      </c>
      <c r="I140" s="9">
        <f t="shared" ref="I140:I171" si="12">(K140-J140+1)*24</f>
        <v>1176</v>
      </c>
      <c r="J140" s="10">
        <v>45883</v>
      </c>
      <c r="K140" s="10">
        <v>45931</v>
      </c>
      <c r="L140" s="11" t="s">
        <v>176</v>
      </c>
      <c r="M140" s="12">
        <f>H140*154144.61-100000</f>
        <v>12077424.189999999</v>
      </c>
    </row>
    <row r="141" spans="1:13" ht="16.5">
      <c r="A141" s="7">
        <v>138</v>
      </c>
      <c r="B141" s="7">
        <v>5</v>
      </c>
      <c r="C141" s="15">
        <v>1</v>
      </c>
      <c r="D141" s="15">
        <v>10</v>
      </c>
      <c r="E141" s="7">
        <v>5987</v>
      </c>
      <c r="F141" s="22" t="s">
        <v>23</v>
      </c>
      <c r="G141" s="22" t="s">
        <v>15</v>
      </c>
      <c r="H141" s="7">
        <f>177+39+74+71</f>
        <v>361</v>
      </c>
      <c r="I141" s="9">
        <f t="shared" si="12"/>
        <v>384</v>
      </c>
      <c r="J141" s="10">
        <v>45917</v>
      </c>
      <c r="K141" s="10">
        <v>45932</v>
      </c>
      <c r="L141" s="19" t="s">
        <v>411</v>
      </c>
      <c r="M141" s="12">
        <f>H141*154144.61</f>
        <v>55646204.209999993</v>
      </c>
    </row>
    <row r="142" spans="1:13">
      <c r="A142" s="7">
        <v>139</v>
      </c>
      <c r="B142" s="7">
        <v>12</v>
      </c>
      <c r="C142" s="15">
        <v>1</v>
      </c>
      <c r="D142" s="15">
        <v>10</v>
      </c>
      <c r="E142" s="7">
        <v>5981</v>
      </c>
      <c r="F142" s="8">
        <v>12</v>
      </c>
      <c r="G142" s="8">
        <v>8</v>
      </c>
      <c r="H142" s="7">
        <f>221+39+45+79</f>
        <v>384</v>
      </c>
      <c r="I142" s="9">
        <f t="shared" si="12"/>
        <v>312</v>
      </c>
      <c r="J142" s="10">
        <v>45922</v>
      </c>
      <c r="K142" s="10">
        <v>45934</v>
      </c>
      <c r="L142" s="11" t="s">
        <v>417</v>
      </c>
      <c r="M142" s="12">
        <f>H142*154144.61</f>
        <v>59191530.239999995</v>
      </c>
    </row>
    <row r="143" spans="1:13">
      <c r="A143" s="7">
        <v>140</v>
      </c>
      <c r="B143" s="7">
        <v>2</v>
      </c>
      <c r="C143" s="15">
        <v>1</v>
      </c>
      <c r="D143" s="15">
        <v>10</v>
      </c>
      <c r="E143" s="7">
        <v>1191</v>
      </c>
      <c r="F143" s="8">
        <v>93</v>
      </c>
      <c r="G143" s="8">
        <v>8</v>
      </c>
      <c r="H143" s="7">
        <f>112+39+37+79</f>
        <v>267</v>
      </c>
      <c r="I143" s="9">
        <f t="shared" si="12"/>
        <v>264</v>
      </c>
      <c r="J143" s="10">
        <v>45929</v>
      </c>
      <c r="K143" s="10">
        <v>45939</v>
      </c>
      <c r="L143" s="11" t="s">
        <v>412</v>
      </c>
      <c r="M143" s="12">
        <f>H143*154144.61</f>
        <v>41156610.869999997</v>
      </c>
    </row>
    <row r="144" spans="1:13">
      <c r="A144" s="7">
        <v>141</v>
      </c>
      <c r="B144" s="7">
        <v>36</v>
      </c>
      <c r="C144" s="15">
        <v>1</v>
      </c>
      <c r="D144" s="15">
        <v>10</v>
      </c>
      <c r="E144" s="7">
        <v>5485</v>
      </c>
      <c r="F144" s="8">
        <v>54</v>
      </c>
      <c r="G144" s="8">
        <v>11</v>
      </c>
      <c r="H144" s="7">
        <f>177+39+37+79</f>
        <v>332</v>
      </c>
      <c r="I144" s="9">
        <f t="shared" si="12"/>
        <v>408</v>
      </c>
      <c r="J144" s="10">
        <v>45923</v>
      </c>
      <c r="K144" s="10">
        <v>45939</v>
      </c>
      <c r="L144" s="11" t="s">
        <v>413</v>
      </c>
      <c r="M144" s="12">
        <f>H144*154144.61-100000</f>
        <v>51076010.519999996</v>
      </c>
    </row>
    <row r="145" spans="1:13">
      <c r="A145" s="7">
        <v>142</v>
      </c>
      <c r="B145" s="7">
        <v>5</v>
      </c>
      <c r="C145" s="15">
        <v>1</v>
      </c>
      <c r="D145" s="15">
        <v>10</v>
      </c>
      <c r="E145" s="7">
        <v>7358</v>
      </c>
      <c r="F145" s="22" t="s">
        <v>27</v>
      </c>
      <c r="G145" s="22" t="s">
        <v>15</v>
      </c>
      <c r="H145" s="7">
        <f>177+39+71</f>
        <v>287</v>
      </c>
      <c r="I145" s="15">
        <f t="shared" si="12"/>
        <v>192</v>
      </c>
      <c r="J145" s="10">
        <v>45933</v>
      </c>
      <c r="K145" s="10">
        <v>45940</v>
      </c>
      <c r="L145" s="11" t="s">
        <v>52</v>
      </c>
      <c r="M145" s="12">
        <f>H145*154144.61</f>
        <v>44239503.069999993</v>
      </c>
    </row>
    <row r="146" spans="1:13">
      <c r="A146" s="7">
        <v>143</v>
      </c>
      <c r="B146" s="7">
        <v>9</v>
      </c>
      <c r="C146" s="15">
        <v>1</v>
      </c>
      <c r="D146" s="15">
        <v>10</v>
      </c>
      <c r="E146" s="7">
        <v>9424</v>
      </c>
      <c r="F146" s="22" t="s">
        <v>14</v>
      </c>
      <c r="G146" s="22" t="s">
        <v>15</v>
      </c>
      <c r="H146" s="7">
        <f>221+39+71</f>
        <v>331</v>
      </c>
      <c r="I146" s="15">
        <f t="shared" si="12"/>
        <v>264</v>
      </c>
      <c r="J146" s="10">
        <v>45931</v>
      </c>
      <c r="K146" s="10">
        <v>45941</v>
      </c>
      <c r="L146" s="11" t="s">
        <v>126</v>
      </c>
      <c r="M146" s="12">
        <f>H146*154144.61-100000</f>
        <v>50921865.909999996</v>
      </c>
    </row>
    <row r="147" spans="1:13">
      <c r="A147" s="7">
        <v>144</v>
      </c>
      <c r="B147" s="7">
        <v>7</v>
      </c>
      <c r="C147" s="15">
        <v>1</v>
      </c>
      <c r="D147" s="15">
        <v>10</v>
      </c>
      <c r="E147" s="7">
        <v>5786</v>
      </c>
      <c r="F147" s="22">
        <v>88</v>
      </c>
      <c r="G147" s="22">
        <v>2</v>
      </c>
      <c r="H147" s="7">
        <f>112+39+29+37+72</f>
        <v>289</v>
      </c>
      <c r="I147" s="15">
        <f t="shared" si="12"/>
        <v>528</v>
      </c>
      <c r="J147" s="10">
        <v>45921</v>
      </c>
      <c r="K147" s="10">
        <v>45942</v>
      </c>
      <c r="L147" s="11" t="s">
        <v>403</v>
      </c>
      <c r="M147" s="12">
        <f>H147*154144.61</f>
        <v>44547792.289999999</v>
      </c>
    </row>
    <row r="148" spans="1:13">
      <c r="A148" s="7">
        <v>145</v>
      </c>
      <c r="B148" s="7">
        <v>4</v>
      </c>
      <c r="C148" s="15">
        <v>1</v>
      </c>
      <c r="D148" s="15">
        <v>10</v>
      </c>
      <c r="E148" s="7">
        <v>9644</v>
      </c>
      <c r="F148" s="8">
        <v>85</v>
      </c>
      <c r="G148" s="8">
        <v>11</v>
      </c>
      <c r="H148" s="7">
        <f>39+29+79</f>
        <v>147</v>
      </c>
      <c r="I148" s="15">
        <f t="shared" si="12"/>
        <v>456</v>
      </c>
      <c r="J148" s="10">
        <v>45927</v>
      </c>
      <c r="K148" s="10">
        <v>45945</v>
      </c>
      <c r="L148" s="11" t="s">
        <v>274</v>
      </c>
      <c r="M148" s="12">
        <f>H148*154144.61</f>
        <v>22659257.669999998</v>
      </c>
    </row>
    <row r="149" spans="1:13">
      <c r="A149" s="7">
        <v>146</v>
      </c>
      <c r="B149" s="7">
        <v>10</v>
      </c>
      <c r="C149" s="15">
        <v>1</v>
      </c>
      <c r="D149" s="15">
        <v>10</v>
      </c>
      <c r="E149" s="7">
        <v>9170</v>
      </c>
      <c r="F149" s="22" t="s">
        <v>23</v>
      </c>
      <c r="G149" s="22" t="s">
        <v>15</v>
      </c>
      <c r="H149" s="7">
        <f>221+137+66</f>
        <v>424</v>
      </c>
      <c r="I149" s="15">
        <f t="shared" si="12"/>
        <v>432</v>
      </c>
      <c r="J149" s="10">
        <v>45929</v>
      </c>
      <c r="K149" s="10">
        <v>45946</v>
      </c>
      <c r="L149" s="11" t="s">
        <v>414</v>
      </c>
      <c r="M149" s="12">
        <f>H149*154144.61</f>
        <v>65357314.639999993</v>
      </c>
    </row>
    <row r="150" spans="1:13" ht="31.5">
      <c r="A150" s="7">
        <v>147</v>
      </c>
      <c r="B150" s="7">
        <v>3</v>
      </c>
      <c r="C150" s="15">
        <v>1</v>
      </c>
      <c r="D150" s="15">
        <v>10</v>
      </c>
      <c r="E150" s="7">
        <v>4951</v>
      </c>
      <c r="F150" s="8">
        <v>4</v>
      </c>
      <c r="G150" s="8">
        <v>11</v>
      </c>
      <c r="H150" s="7">
        <f>177+39+40+137+39+66</f>
        <v>498</v>
      </c>
      <c r="I150" s="15">
        <f t="shared" si="12"/>
        <v>480</v>
      </c>
      <c r="J150" s="10">
        <v>45931</v>
      </c>
      <c r="K150" s="10">
        <v>45950</v>
      </c>
      <c r="L150" s="11" t="s">
        <v>415</v>
      </c>
      <c r="M150" s="12">
        <f>H150*154144.61-200000</f>
        <v>76564015.779999986</v>
      </c>
    </row>
    <row r="151" spans="1:13" ht="16.5">
      <c r="A151" s="7">
        <v>148</v>
      </c>
      <c r="B151" s="7">
        <v>12</v>
      </c>
      <c r="C151" s="15">
        <v>1</v>
      </c>
      <c r="D151" s="15">
        <v>10</v>
      </c>
      <c r="E151" s="7">
        <v>6748</v>
      </c>
      <c r="F151" s="8">
        <v>88</v>
      </c>
      <c r="G151" s="8">
        <v>12</v>
      </c>
      <c r="H151" s="7">
        <f>112+234+72</f>
        <v>418</v>
      </c>
      <c r="I151" s="15">
        <f t="shared" si="12"/>
        <v>384</v>
      </c>
      <c r="J151" s="10">
        <v>45935</v>
      </c>
      <c r="K151" s="10">
        <v>45950</v>
      </c>
      <c r="L151" s="19" t="s">
        <v>90</v>
      </c>
      <c r="M151" s="12">
        <f>H151*154144.61-100000</f>
        <v>64332446.979999997</v>
      </c>
    </row>
    <row r="152" spans="1:13">
      <c r="A152" s="7">
        <v>149</v>
      </c>
      <c r="B152" s="7">
        <v>10</v>
      </c>
      <c r="C152" s="15">
        <v>1</v>
      </c>
      <c r="D152" s="15">
        <v>10</v>
      </c>
      <c r="E152" s="7">
        <v>9950</v>
      </c>
      <c r="F152" s="8">
        <v>90</v>
      </c>
      <c r="G152" s="8">
        <v>2</v>
      </c>
      <c r="H152" s="7">
        <f>221+90</f>
        <v>311</v>
      </c>
      <c r="I152" s="15">
        <f t="shared" si="12"/>
        <v>120</v>
      </c>
      <c r="J152" s="10">
        <v>45947</v>
      </c>
      <c r="K152" s="10">
        <v>45951</v>
      </c>
      <c r="L152" s="11" t="s">
        <v>78</v>
      </c>
      <c r="M152" s="12">
        <f>H152*154144.61</f>
        <v>47938973.709999993</v>
      </c>
    </row>
    <row r="153" spans="1:13" ht="16.5">
      <c r="A153" s="7">
        <v>150</v>
      </c>
      <c r="B153" s="7">
        <v>1</v>
      </c>
      <c r="C153" s="15">
        <v>1</v>
      </c>
      <c r="D153" s="15">
        <v>10</v>
      </c>
      <c r="E153" s="7">
        <v>6492</v>
      </c>
      <c r="F153" s="8">
        <v>90</v>
      </c>
      <c r="G153" s="8">
        <v>2</v>
      </c>
      <c r="H153" s="7">
        <f>147+39+29+72</f>
        <v>287</v>
      </c>
      <c r="I153" s="15">
        <f t="shared" si="12"/>
        <v>504</v>
      </c>
      <c r="J153" s="10">
        <v>45932</v>
      </c>
      <c r="K153" s="10">
        <v>45952</v>
      </c>
      <c r="L153" s="19" t="s">
        <v>416</v>
      </c>
      <c r="M153" s="12">
        <f>H153*154144.61-200000</f>
        <v>44039503.069999993</v>
      </c>
    </row>
    <row r="154" spans="1:13" ht="16.5">
      <c r="A154" s="7">
        <v>151</v>
      </c>
      <c r="B154" s="7">
        <v>6</v>
      </c>
      <c r="C154" s="15">
        <v>1</v>
      </c>
      <c r="D154" s="15">
        <v>10</v>
      </c>
      <c r="E154" s="7">
        <v>9452</v>
      </c>
      <c r="F154" s="8">
        <v>87</v>
      </c>
      <c r="G154" s="8">
        <v>2</v>
      </c>
      <c r="H154" s="7">
        <f>221+234+79</f>
        <v>534</v>
      </c>
      <c r="I154" s="15">
        <f t="shared" si="12"/>
        <v>984</v>
      </c>
      <c r="J154" s="10">
        <v>45912</v>
      </c>
      <c r="K154" s="10">
        <v>45952</v>
      </c>
      <c r="L154" s="19" t="s">
        <v>47</v>
      </c>
      <c r="M154" s="12">
        <f>H154*154144.61</f>
        <v>82313221.739999995</v>
      </c>
    </row>
    <row r="155" spans="1:13" ht="16.5">
      <c r="A155" s="7">
        <v>152</v>
      </c>
      <c r="B155" s="7">
        <v>9</v>
      </c>
      <c r="C155" s="15">
        <v>1</v>
      </c>
      <c r="D155" s="15">
        <v>10</v>
      </c>
      <c r="E155" s="7">
        <v>3299</v>
      </c>
      <c r="F155" s="22" t="s">
        <v>23</v>
      </c>
      <c r="G155" s="22" t="s">
        <v>15</v>
      </c>
      <c r="H155" s="7">
        <f>177+39+71</f>
        <v>287</v>
      </c>
      <c r="I155" s="15">
        <f t="shared" si="12"/>
        <v>264</v>
      </c>
      <c r="J155" s="10">
        <v>45942</v>
      </c>
      <c r="K155" s="10">
        <v>45952</v>
      </c>
      <c r="L155" s="19" t="s">
        <v>67</v>
      </c>
      <c r="M155" s="12">
        <f>H155*154144.61</f>
        <v>44239503.069999993</v>
      </c>
    </row>
    <row r="156" spans="1:13" ht="16.5">
      <c r="A156" s="7">
        <v>153</v>
      </c>
      <c r="B156" s="7">
        <v>36</v>
      </c>
      <c r="C156" s="15">
        <v>1</v>
      </c>
      <c r="D156" s="15">
        <v>10</v>
      </c>
      <c r="E156" s="7">
        <v>5331</v>
      </c>
      <c r="F156" s="8">
        <v>91</v>
      </c>
      <c r="G156" s="8">
        <v>2</v>
      </c>
      <c r="H156" s="7">
        <f>140+39+37+72</f>
        <v>288</v>
      </c>
      <c r="I156" s="15">
        <f t="shared" si="12"/>
        <v>336</v>
      </c>
      <c r="J156" s="10">
        <v>45940</v>
      </c>
      <c r="K156" s="10">
        <v>45953</v>
      </c>
      <c r="L156" s="19" t="s">
        <v>62</v>
      </c>
      <c r="M156" s="12">
        <f>H156*154144.61</f>
        <v>44393647.679999992</v>
      </c>
    </row>
    <row r="157" spans="1:13" ht="16.5">
      <c r="A157" s="7">
        <v>154</v>
      </c>
      <c r="B157" s="7">
        <v>4</v>
      </c>
      <c r="C157" s="15">
        <v>1</v>
      </c>
      <c r="D157" s="15">
        <v>10</v>
      </c>
      <c r="E157" s="7">
        <v>6386</v>
      </c>
      <c r="F157" s="8">
        <v>57</v>
      </c>
      <c r="G157" s="8">
        <v>8</v>
      </c>
      <c r="H157" s="7">
        <f>140+39+90</f>
        <v>269</v>
      </c>
      <c r="I157" s="15">
        <f t="shared" si="12"/>
        <v>216</v>
      </c>
      <c r="J157" s="10">
        <v>45946</v>
      </c>
      <c r="K157" s="10">
        <v>45954</v>
      </c>
      <c r="L157" s="19" t="s">
        <v>40</v>
      </c>
      <c r="M157" s="12">
        <f>H157*154144.61-100000</f>
        <v>41364900.089999996</v>
      </c>
    </row>
    <row r="158" spans="1:13" ht="33">
      <c r="A158" s="7">
        <v>155</v>
      </c>
      <c r="B158" s="7">
        <v>11</v>
      </c>
      <c r="C158" s="15">
        <v>1</v>
      </c>
      <c r="D158" s="15">
        <v>10</v>
      </c>
      <c r="E158" s="7">
        <v>2858</v>
      </c>
      <c r="F158" s="8">
        <v>85</v>
      </c>
      <c r="G158" s="8">
        <v>11</v>
      </c>
      <c r="H158" s="7">
        <f>268+112+39+29+72</f>
        <v>520</v>
      </c>
      <c r="I158" s="15">
        <f t="shared" si="12"/>
        <v>648</v>
      </c>
      <c r="J158" s="10">
        <v>45928</v>
      </c>
      <c r="K158" s="10">
        <v>45954</v>
      </c>
      <c r="L158" s="19" t="s">
        <v>374</v>
      </c>
      <c r="M158" s="12">
        <f>H158*154144.61-100000</f>
        <v>80055197.199999988</v>
      </c>
    </row>
    <row r="159" spans="1:13">
      <c r="A159" s="7">
        <v>156</v>
      </c>
      <c r="B159" s="7">
        <v>7</v>
      </c>
      <c r="C159" s="15">
        <v>1</v>
      </c>
      <c r="D159" s="15">
        <v>10</v>
      </c>
      <c r="E159" s="7">
        <v>9715</v>
      </c>
      <c r="F159" s="8">
        <v>54</v>
      </c>
      <c r="G159" s="8">
        <v>11</v>
      </c>
      <c r="H159" s="7">
        <f>112+39+29+72</f>
        <v>252</v>
      </c>
      <c r="I159" s="15">
        <f t="shared" si="12"/>
        <v>336</v>
      </c>
      <c r="J159" s="10">
        <v>45943</v>
      </c>
      <c r="K159" s="10">
        <v>45956</v>
      </c>
      <c r="L159" s="11" t="s">
        <v>80</v>
      </c>
      <c r="M159" s="12">
        <f>H159*154144.61</f>
        <v>38844441.719999999</v>
      </c>
    </row>
    <row r="160" spans="1:13">
      <c r="A160" s="7">
        <v>157</v>
      </c>
      <c r="B160" s="7">
        <v>2</v>
      </c>
      <c r="C160" s="15">
        <v>1</v>
      </c>
      <c r="D160" s="15">
        <v>10</v>
      </c>
      <c r="E160" s="7">
        <v>1578</v>
      </c>
      <c r="F160" s="8">
        <v>91</v>
      </c>
      <c r="G160" s="8">
        <v>2</v>
      </c>
      <c r="H160" s="7">
        <f>140+234+79</f>
        <v>453</v>
      </c>
      <c r="I160" s="15">
        <f t="shared" si="12"/>
        <v>504</v>
      </c>
      <c r="J160" s="10">
        <v>45941</v>
      </c>
      <c r="K160" s="10">
        <v>45961</v>
      </c>
      <c r="L160" s="11" t="s">
        <v>312</v>
      </c>
      <c r="M160" s="12">
        <f>H160*154144.61</f>
        <v>69827508.329999998</v>
      </c>
    </row>
    <row r="161" spans="1:13">
      <c r="A161" s="7">
        <v>158</v>
      </c>
      <c r="B161" s="7">
        <v>5</v>
      </c>
      <c r="C161" s="7">
        <v>1</v>
      </c>
      <c r="D161" s="7">
        <v>11</v>
      </c>
      <c r="E161" s="7">
        <v>3212</v>
      </c>
      <c r="F161" s="8">
        <v>57</v>
      </c>
      <c r="G161" s="8">
        <v>8</v>
      </c>
      <c r="H161" s="7">
        <f>392+29+90</f>
        <v>511</v>
      </c>
      <c r="I161" s="9">
        <f t="shared" si="12"/>
        <v>336</v>
      </c>
      <c r="J161" s="10">
        <v>45949</v>
      </c>
      <c r="K161" s="10">
        <v>45962</v>
      </c>
      <c r="L161" s="11" t="s">
        <v>198</v>
      </c>
      <c r="M161" s="12">
        <f>H161*154144.61</f>
        <v>78767895.709999993</v>
      </c>
    </row>
    <row r="162" spans="1:13" ht="16.5">
      <c r="A162" s="7">
        <v>159</v>
      </c>
      <c r="B162" s="7">
        <v>9</v>
      </c>
      <c r="C162" s="7">
        <v>1</v>
      </c>
      <c r="D162" s="7">
        <v>11</v>
      </c>
      <c r="E162" s="7">
        <v>6767</v>
      </c>
      <c r="F162" s="22">
        <v>88</v>
      </c>
      <c r="G162" s="22">
        <v>2</v>
      </c>
      <c r="H162" s="7">
        <f>221+83</f>
        <v>304</v>
      </c>
      <c r="I162" s="9">
        <f t="shared" si="12"/>
        <v>360</v>
      </c>
      <c r="J162" s="10">
        <v>45953</v>
      </c>
      <c r="K162" s="10">
        <v>45967</v>
      </c>
      <c r="L162" s="19" t="s">
        <v>174</v>
      </c>
      <c r="M162" s="12">
        <f>H162*154144.61</f>
        <v>46859961.439999998</v>
      </c>
    </row>
    <row r="163" spans="1:13" ht="31.5">
      <c r="A163" s="7">
        <v>160</v>
      </c>
      <c r="B163" s="7">
        <v>4</v>
      </c>
      <c r="C163" s="7">
        <v>1</v>
      </c>
      <c r="D163" s="7">
        <v>11</v>
      </c>
      <c r="E163" s="7">
        <v>3312</v>
      </c>
      <c r="F163" s="8">
        <v>4</v>
      </c>
      <c r="G163" s="8">
        <v>11</v>
      </c>
      <c r="H163" s="7">
        <f>392+29+37+90</f>
        <v>548</v>
      </c>
      <c r="I163" s="9">
        <f t="shared" si="12"/>
        <v>360</v>
      </c>
      <c r="J163" s="10">
        <v>45955</v>
      </c>
      <c r="K163" s="10">
        <v>45969</v>
      </c>
      <c r="L163" s="11" t="s">
        <v>429</v>
      </c>
      <c r="M163" s="12">
        <f>H163*154144.61</f>
        <v>84471246.279999986</v>
      </c>
    </row>
    <row r="164" spans="1:13" ht="16.5">
      <c r="A164" s="7">
        <v>161</v>
      </c>
      <c r="B164" s="7">
        <v>10</v>
      </c>
      <c r="C164" s="7">
        <v>1</v>
      </c>
      <c r="D164" s="7">
        <v>11</v>
      </c>
      <c r="E164" s="7">
        <v>9074</v>
      </c>
      <c r="F164" s="8">
        <v>54</v>
      </c>
      <c r="G164" s="8">
        <v>11</v>
      </c>
      <c r="H164" s="7">
        <f>140+39+234+83</f>
        <v>496</v>
      </c>
      <c r="I164" s="9">
        <f t="shared" si="12"/>
        <v>504</v>
      </c>
      <c r="J164" s="10">
        <v>45958</v>
      </c>
      <c r="K164" s="10">
        <v>45978</v>
      </c>
      <c r="L164" s="19" t="s">
        <v>453</v>
      </c>
      <c r="M164" s="12">
        <f>H164*154144.61-100000</f>
        <v>76355726.559999987</v>
      </c>
    </row>
    <row r="165" spans="1:13" ht="16.5">
      <c r="A165" s="7">
        <v>162</v>
      </c>
      <c r="B165" s="7">
        <v>2</v>
      </c>
      <c r="C165" s="7">
        <v>1</v>
      </c>
      <c r="D165" s="7">
        <v>11</v>
      </c>
      <c r="E165" s="7">
        <v>3785</v>
      </c>
      <c r="F165" s="22" t="s">
        <v>23</v>
      </c>
      <c r="G165" s="22" t="s">
        <v>15</v>
      </c>
      <c r="H165" s="7">
        <f>221+39+82</f>
        <v>342</v>
      </c>
      <c r="I165" s="9">
        <f t="shared" si="12"/>
        <v>240</v>
      </c>
      <c r="J165" s="10">
        <v>45962</v>
      </c>
      <c r="K165" s="10">
        <v>45971</v>
      </c>
      <c r="L165" s="19" t="s">
        <v>19</v>
      </c>
      <c r="M165" s="12">
        <f>H165*154144.61</f>
        <v>52717456.619999997</v>
      </c>
    </row>
    <row r="166" spans="1:13" ht="16.5">
      <c r="A166" s="7">
        <v>163</v>
      </c>
      <c r="B166" s="7">
        <v>4</v>
      </c>
      <c r="C166" s="7">
        <v>1</v>
      </c>
      <c r="D166" s="7">
        <v>11</v>
      </c>
      <c r="E166" s="7">
        <v>9721</v>
      </c>
      <c r="F166" s="22">
        <v>90</v>
      </c>
      <c r="G166" s="22">
        <v>2</v>
      </c>
      <c r="H166" s="7">
        <f>140+39+90</f>
        <v>269</v>
      </c>
      <c r="I166" s="9">
        <f t="shared" si="12"/>
        <v>240</v>
      </c>
      <c r="J166" s="10">
        <v>45970</v>
      </c>
      <c r="K166" s="10">
        <v>45979</v>
      </c>
      <c r="L166" s="19" t="s">
        <v>40</v>
      </c>
      <c r="M166" s="12">
        <f>H166*154144.61</f>
        <v>41464900.089999996</v>
      </c>
    </row>
    <row r="167" spans="1:13" ht="16.5">
      <c r="A167" s="7">
        <v>164</v>
      </c>
      <c r="B167" s="7">
        <v>9</v>
      </c>
      <c r="C167" s="7">
        <v>1</v>
      </c>
      <c r="D167" s="7">
        <v>11</v>
      </c>
      <c r="E167" s="7">
        <v>9716</v>
      </c>
      <c r="F167" s="8">
        <v>87</v>
      </c>
      <c r="G167" s="8">
        <v>2</v>
      </c>
      <c r="H167" s="7">
        <f>140+39+83</f>
        <v>262</v>
      </c>
      <c r="I167" s="9">
        <f t="shared" si="12"/>
        <v>288</v>
      </c>
      <c r="J167" s="10">
        <v>45968</v>
      </c>
      <c r="K167" s="10">
        <v>45979</v>
      </c>
      <c r="L167" s="19" t="s">
        <v>40</v>
      </c>
      <c r="M167" s="12">
        <f>H167*154144.61-100000</f>
        <v>40285887.819999993</v>
      </c>
    </row>
    <row r="168" spans="1:13">
      <c r="A168" s="7">
        <v>165</v>
      </c>
      <c r="B168" s="7">
        <v>11</v>
      </c>
      <c r="C168" s="7">
        <v>1</v>
      </c>
      <c r="D168" s="7">
        <v>11</v>
      </c>
      <c r="E168" s="7">
        <v>2441</v>
      </c>
      <c r="F168" s="8">
        <v>87</v>
      </c>
      <c r="G168" s="8">
        <v>2</v>
      </c>
      <c r="H168" s="7">
        <f>177+392+83</f>
        <v>652</v>
      </c>
      <c r="I168" s="9">
        <f t="shared" si="12"/>
        <v>648</v>
      </c>
      <c r="J168" s="10">
        <v>45955</v>
      </c>
      <c r="K168" s="10">
        <v>45981</v>
      </c>
      <c r="L168" s="11" t="s">
        <v>454</v>
      </c>
      <c r="M168" s="12">
        <f>H168*154144.61</f>
        <v>100502285.71999998</v>
      </c>
    </row>
    <row r="169" spans="1:13">
      <c r="A169" s="7">
        <v>166</v>
      </c>
      <c r="B169" s="7">
        <v>3</v>
      </c>
      <c r="C169" s="7">
        <v>1</v>
      </c>
      <c r="D169" s="7">
        <v>11</v>
      </c>
      <c r="E169" s="7">
        <v>3790</v>
      </c>
      <c r="F169" s="22" t="s">
        <v>14</v>
      </c>
      <c r="G169" s="22" t="s">
        <v>15</v>
      </c>
      <c r="H169" s="8">
        <f>164+39+29+39+82</f>
        <v>353</v>
      </c>
      <c r="I169" s="9">
        <f t="shared" si="12"/>
        <v>744</v>
      </c>
      <c r="J169" s="10">
        <v>45951</v>
      </c>
      <c r="K169" s="10">
        <v>45981</v>
      </c>
      <c r="L169" s="11" t="s">
        <v>438</v>
      </c>
      <c r="M169" s="12">
        <f>H169*154144.61-400000</f>
        <v>54013047.329999998</v>
      </c>
    </row>
    <row r="170" spans="1:13" ht="16.5">
      <c r="A170" s="7">
        <v>167</v>
      </c>
      <c r="B170" s="7">
        <v>5</v>
      </c>
      <c r="C170" s="7">
        <v>1</v>
      </c>
      <c r="D170" s="7">
        <v>11</v>
      </c>
      <c r="E170" s="7">
        <v>6735</v>
      </c>
      <c r="F170" s="8">
        <v>84</v>
      </c>
      <c r="G170" s="8">
        <v>11</v>
      </c>
      <c r="H170" s="8">
        <f>221+45+90</f>
        <v>356</v>
      </c>
      <c r="I170" s="9">
        <f t="shared" si="12"/>
        <v>456</v>
      </c>
      <c r="J170" s="10">
        <v>45963</v>
      </c>
      <c r="K170" s="10">
        <v>45981</v>
      </c>
      <c r="L170" s="19" t="s">
        <v>447</v>
      </c>
      <c r="M170" s="12">
        <f>H170*154144.61-216000</f>
        <v>54659481.159999996</v>
      </c>
    </row>
    <row r="171" spans="1:13" ht="16.5">
      <c r="A171" s="7">
        <v>168</v>
      </c>
      <c r="B171" s="7">
        <v>2</v>
      </c>
      <c r="C171" s="7">
        <v>1</v>
      </c>
      <c r="D171" s="7">
        <v>11</v>
      </c>
      <c r="E171" s="7">
        <v>133</v>
      </c>
      <c r="F171" s="22">
        <v>87</v>
      </c>
      <c r="G171" s="22">
        <v>2</v>
      </c>
      <c r="H171" s="8">
        <f>140+39+90</f>
        <v>269</v>
      </c>
      <c r="I171" s="9">
        <f t="shared" si="12"/>
        <v>288</v>
      </c>
      <c r="J171" s="10">
        <v>45972</v>
      </c>
      <c r="K171" s="10">
        <v>45983</v>
      </c>
      <c r="L171" s="19" t="s">
        <v>40</v>
      </c>
      <c r="M171" s="12">
        <f t="shared" ref="M171:M178" si="13">H171*154144.61</f>
        <v>41464900.089999996</v>
      </c>
    </row>
    <row r="172" spans="1:13" ht="16.5">
      <c r="A172" s="7">
        <v>169</v>
      </c>
      <c r="B172" s="7">
        <v>1</v>
      </c>
      <c r="C172" s="7">
        <v>1</v>
      </c>
      <c r="D172" s="7">
        <v>11</v>
      </c>
      <c r="E172" s="7">
        <v>8034</v>
      </c>
      <c r="F172" s="22">
        <v>55</v>
      </c>
      <c r="G172" s="22">
        <v>8</v>
      </c>
      <c r="H172" s="8">
        <f>140+234+90</f>
        <v>464</v>
      </c>
      <c r="I172" s="9">
        <f t="shared" ref="I172:I203" si="14">(K172-J172+1)*24</f>
        <v>336</v>
      </c>
      <c r="J172" s="10">
        <v>45974</v>
      </c>
      <c r="K172" s="10">
        <v>45987</v>
      </c>
      <c r="L172" s="19" t="s">
        <v>258</v>
      </c>
      <c r="M172" s="12">
        <f t="shared" si="13"/>
        <v>71523099.039999992</v>
      </c>
    </row>
    <row r="173" spans="1:13" ht="16.5">
      <c r="A173" s="7">
        <v>170</v>
      </c>
      <c r="B173" s="7">
        <v>2</v>
      </c>
      <c r="C173" s="7">
        <v>1</v>
      </c>
      <c r="D173" s="7">
        <v>11</v>
      </c>
      <c r="E173" s="7">
        <v>4021</v>
      </c>
      <c r="F173" s="22" t="s">
        <v>14</v>
      </c>
      <c r="G173" s="22" t="s">
        <v>15</v>
      </c>
      <c r="H173" s="8">
        <f>221+39+137+76</f>
        <v>473</v>
      </c>
      <c r="I173" s="9">
        <f t="shared" si="14"/>
        <v>192</v>
      </c>
      <c r="J173" s="10">
        <v>45984</v>
      </c>
      <c r="K173" s="10">
        <v>45991</v>
      </c>
      <c r="L173" s="19" t="s">
        <v>448</v>
      </c>
      <c r="M173" s="12">
        <f t="shared" si="13"/>
        <v>72910400.529999986</v>
      </c>
    </row>
    <row r="174" spans="1:13" ht="16.5">
      <c r="A174" s="7">
        <v>171</v>
      </c>
      <c r="B174" s="7">
        <v>5</v>
      </c>
      <c r="C174" s="7">
        <v>1</v>
      </c>
      <c r="D174" s="7">
        <v>11</v>
      </c>
      <c r="E174" s="7">
        <v>4463</v>
      </c>
      <c r="F174" s="22">
        <v>88</v>
      </c>
      <c r="G174" s="22">
        <v>2</v>
      </c>
      <c r="H174" s="8">
        <f>221+90</f>
        <v>311</v>
      </c>
      <c r="I174" s="9">
        <f t="shared" si="14"/>
        <v>240</v>
      </c>
      <c r="J174" s="10">
        <v>45982</v>
      </c>
      <c r="K174" s="10">
        <v>45991</v>
      </c>
      <c r="L174" s="19" t="s">
        <v>174</v>
      </c>
      <c r="M174" s="12">
        <f t="shared" si="13"/>
        <v>47938973.709999993</v>
      </c>
    </row>
    <row r="175" spans="1:13">
      <c r="A175" s="7">
        <v>172</v>
      </c>
      <c r="B175" s="7">
        <v>10</v>
      </c>
      <c r="C175" s="7">
        <v>1</v>
      </c>
      <c r="D175" s="7">
        <v>12</v>
      </c>
      <c r="E175" s="7">
        <v>9539</v>
      </c>
      <c r="F175" s="8">
        <v>89</v>
      </c>
      <c r="G175" s="8">
        <v>2</v>
      </c>
      <c r="H175" s="7">
        <f>140+39+234+90</f>
        <v>503</v>
      </c>
      <c r="I175" s="9">
        <f t="shared" si="14"/>
        <v>384</v>
      </c>
      <c r="J175" s="10">
        <v>45979</v>
      </c>
      <c r="K175" s="10">
        <v>45994</v>
      </c>
      <c r="L175" s="11" t="s">
        <v>482</v>
      </c>
      <c r="M175" s="12">
        <f t="shared" si="13"/>
        <v>77534738.829999998</v>
      </c>
    </row>
    <row r="176" spans="1:13">
      <c r="A176" s="7">
        <v>173</v>
      </c>
      <c r="B176" s="7">
        <v>1</v>
      </c>
      <c r="C176" s="7">
        <v>1</v>
      </c>
      <c r="D176" s="7">
        <v>12</v>
      </c>
      <c r="E176" s="7">
        <v>8365</v>
      </c>
      <c r="F176" s="22">
        <v>89</v>
      </c>
      <c r="G176" s="22">
        <v>2</v>
      </c>
      <c r="H176" s="7">
        <f>221+112+39+83</f>
        <v>455</v>
      </c>
      <c r="I176" s="9">
        <f t="shared" si="14"/>
        <v>240</v>
      </c>
      <c r="J176" s="10">
        <v>45988</v>
      </c>
      <c r="K176" s="10">
        <v>45997</v>
      </c>
      <c r="L176" s="11" t="s">
        <v>483</v>
      </c>
      <c r="M176" s="12">
        <f t="shared" si="13"/>
        <v>70135797.549999997</v>
      </c>
    </row>
    <row r="177" spans="1:13">
      <c r="A177" s="7">
        <v>174</v>
      </c>
      <c r="B177" s="7">
        <v>3</v>
      </c>
      <c r="C177" s="7">
        <v>1</v>
      </c>
      <c r="D177" s="7">
        <v>12</v>
      </c>
      <c r="E177" s="7">
        <v>6854</v>
      </c>
      <c r="F177" s="8">
        <v>88</v>
      </c>
      <c r="G177" s="8">
        <v>2</v>
      </c>
      <c r="H177" s="7">
        <f>221+234+39+83</f>
        <v>577</v>
      </c>
      <c r="I177" s="9">
        <f t="shared" si="14"/>
        <v>336</v>
      </c>
      <c r="J177" s="10">
        <v>45986</v>
      </c>
      <c r="K177" s="10">
        <v>45999</v>
      </c>
      <c r="L177" s="11" t="s">
        <v>492</v>
      </c>
      <c r="M177" s="12">
        <f t="shared" si="13"/>
        <v>88941439.969999999</v>
      </c>
    </row>
    <row r="178" spans="1:13">
      <c r="A178" s="7">
        <v>175</v>
      </c>
      <c r="B178" s="7">
        <v>2</v>
      </c>
      <c r="C178" s="7">
        <v>1</v>
      </c>
      <c r="D178" s="7">
        <v>12</v>
      </c>
      <c r="E178" s="7">
        <v>9065</v>
      </c>
      <c r="F178" s="8" t="s">
        <v>89</v>
      </c>
      <c r="G178" s="8" t="s">
        <v>15</v>
      </c>
      <c r="H178" s="7">
        <f>137+39+77</f>
        <v>253</v>
      </c>
      <c r="I178" s="9">
        <f t="shared" si="14"/>
        <v>144</v>
      </c>
      <c r="J178" s="10">
        <v>45993</v>
      </c>
      <c r="K178" s="10">
        <v>45998</v>
      </c>
      <c r="L178" s="11" t="s">
        <v>440</v>
      </c>
      <c r="M178" s="12">
        <f t="shared" si="13"/>
        <v>38998586.329999998</v>
      </c>
    </row>
    <row r="179" spans="1:13" ht="31.5">
      <c r="A179" s="7">
        <v>176</v>
      </c>
      <c r="B179" s="7">
        <v>36</v>
      </c>
      <c r="C179" s="7">
        <v>1</v>
      </c>
      <c r="D179" s="7">
        <v>12</v>
      </c>
      <c r="E179" s="7">
        <v>4300</v>
      </c>
      <c r="F179" s="8" t="s">
        <v>23</v>
      </c>
      <c r="G179" s="8" t="s">
        <v>15</v>
      </c>
      <c r="H179" s="7">
        <f>268+164+39+29+82</f>
        <v>582</v>
      </c>
      <c r="I179" s="9">
        <f t="shared" si="14"/>
        <v>1080</v>
      </c>
      <c r="J179" s="10">
        <v>45954</v>
      </c>
      <c r="K179" s="10">
        <v>45998</v>
      </c>
      <c r="L179" s="11" t="s">
        <v>459</v>
      </c>
      <c r="M179" s="12">
        <f>H179*154144.61-320000</f>
        <v>89392163.019999996</v>
      </c>
    </row>
    <row r="180" spans="1:13" ht="31.5">
      <c r="A180" s="7">
        <v>177</v>
      </c>
      <c r="B180" s="7">
        <v>4</v>
      </c>
      <c r="C180" s="7">
        <v>1</v>
      </c>
      <c r="D180" s="7">
        <v>12</v>
      </c>
      <c r="E180" s="7">
        <v>9105</v>
      </c>
      <c r="F180" s="22">
        <v>7</v>
      </c>
      <c r="G180" s="22">
        <v>8</v>
      </c>
      <c r="H180" s="7">
        <f>221+392+29+83</f>
        <v>725</v>
      </c>
      <c r="I180" s="9">
        <f t="shared" si="14"/>
        <v>552</v>
      </c>
      <c r="J180" s="10">
        <v>45980</v>
      </c>
      <c r="K180" s="10">
        <v>46002</v>
      </c>
      <c r="L180" s="11" t="s">
        <v>485</v>
      </c>
      <c r="M180" s="12">
        <f>H180*154144.61</f>
        <v>111754842.24999999</v>
      </c>
    </row>
    <row r="181" spans="1:13">
      <c r="A181" s="7">
        <v>178</v>
      </c>
      <c r="B181" s="7">
        <v>12</v>
      </c>
      <c r="C181" s="7">
        <v>1</v>
      </c>
      <c r="D181" s="7">
        <v>12</v>
      </c>
      <c r="E181" s="7">
        <v>3255</v>
      </c>
      <c r="F181" s="8" t="s">
        <v>23</v>
      </c>
      <c r="G181" s="8" t="s">
        <v>15</v>
      </c>
      <c r="H181" s="7">
        <f>221+39+82</f>
        <v>342</v>
      </c>
      <c r="I181" s="9">
        <f t="shared" si="14"/>
        <v>216</v>
      </c>
      <c r="J181" s="10">
        <v>45994</v>
      </c>
      <c r="K181" s="10">
        <v>46002</v>
      </c>
      <c r="L181" s="11" t="s">
        <v>28</v>
      </c>
      <c r="M181" s="12">
        <f>H181*154144.61</f>
        <v>52717456.619999997</v>
      </c>
    </row>
    <row r="182" spans="1:13">
      <c r="A182" s="7">
        <v>179</v>
      </c>
      <c r="B182" s="7">
        <v>10</v>
      </c>
      <c r="C182" s="7">
        <v>1</v>
      </c>
      <c r="D182" s="7">
        <v>12</v>
      </c>
      <c r="E182" s="7">
        <v>3481</v>
      </c>
      <c r="F182" s="8" t="s">
        <v>14</v>
      </c>
      <c r="G182" s="8" t="s">
        <v>15</v>
      </c>
      <c r="H182" s="7">
        <f>177+39+82</f>
        <v>298</v>
      </c>
      <c r="I182" s="9">
        <f t="shared" si="14"/>
        <v>288</v>
      </c>
      <c r="J182" s="10">
        <v>45995</v>
      </c>
      <c r="K182" s="10">
        <v>46006</v>
      </c>
      <c r="L182" s="11" t="s">
        <v>133</v>
      </c>
      <c r="M182" s="12">
        <f>H182*154144.61</f>
        <v>45935093.779999994</v>
      </c>
    </row>
    <row r="183" spans="1:13" ht="31.5">
      <c r="A183" s="7">
        <v>180</v>
      </c>
      <c r="B183" s="7">
        <v>9</v>
      </c>
      <c r="C183" s="7">
        <v>1</v>
      </c>
      <c r="D183" s="7">
        <v>12</v>
      </c>
      <c r="E183" s="7">
        <v>4232</v>
      </c>
      <c r="F183" s="22">
        <v>4</v>
      </c>
      <c r="G183" s="22">
        <v>11</v>
      </c>
      <c r="H183" s="8">
        <f>112+39+234+39+234+90</f>
        <v>748</v>
      </c>
      <c r="I183" s="9">
        <f t="shared" si="14"/>
        <v>672</v>
      </c>
      <c r="J183" s="10">
        <v>45980</v>
      </c>
      <c r="K183" s="10">
        <v>46007</v>
      </c>
      <c r="L183" s="11" t="s">
        <v>466</v>
      </c>
      <c r="M183" s="12">
        <f>H183*154144.61-100000</f>
        <v>115200168.27999999</v>
      </c>
    </row>
    <row r="184" spans="1:13">
      <c r="A184" s="7">
        <v>181</v>
      </c>
      <c r="B184" s="7">
        <v>5</v>
      </c>
      <c r="C184" s="7">
        <v>1</v>
      </c>
      <c r="D184" s="7">
        <v>12</v>
      </c>
      <c r="E184" s="7">
        <v>2771</v>
      </c>
      <c r="F184" s="22">
        <v>89</v>
      </c>
      <c r="G184" s="22">
        <v>2</v>
      </c>
      <c r="H184" s="8">
        <f>177+112+39+83</f>
        <v>411</v>
      </c>
      <c r="I184" s="9">
        <f t="shared" si="14"/>
        <v>504</v>
      </c>
      <c r="J184" s="10">
        <v>45993</v>
      </c>
      <c r="K184" s="10">
        <v>46013</v>
      </c>
      <c r="L184" s="11" t="s">
        <v>467</v>
      </c>
      <c r="M184" s="12">
        <f>H184*154144.61</f>
        <v>63353434.709999993</v>
      </c>
    </row>
    <row r="185" spans="1:13">
      <c r="A185" s="7">
        <v>182</v>
      </c>
      <c r="B185" s="7">
        <v>1</v>
      </c>
      <c r="C185" s="7">
        <v>1</v>
      </c>
      <c r="D185" s="7">
        <v>12</v>
      </c>
      <c r="E185" s="7">
        <v>3215</v>
      </c>
      <c r="F185" s="8" t="s">
        <v>23</v>
      </c>
      <c r="G185" s="8" t="s">
        <v>15</v>
      </c>
      <c r="H185" s="8">
        <f>(177)*0.9+39+137+39+77</f>
        <v>451.3</v>
      </c>
      <c r="I185" s="9">
        <f t="shared" si="14"/>
        <v>456</v>
      </c>
      <c r="J185" s="10">
        <v>45998</v>
      </c>
      <c r="K185" s="10">
        <v>46016</v>
      </c>
      <c r="L185" s="11" t="s">
        <v>468</v>
      </c>
      <c r="M185" s="12">
        <f>H185*154144.61-80000</f>
        <v>69485462.493000001</v>
      </c>
    </row>
    <row r="186" spans="1:13">
      <c r="A186" s="7">
        <v>183</v>
      </c>
      <c r="B186" s="7">
        <v>6</v>
      </c>
      <c r="C186" s="7">
        <v>1</v>
      </c>
      <c r="D186" s="7">
        <v>12</v>
      </c>
      <c r="E186" s="7">
        <v>8369</v>
      </c>
      <c r="F186" s="22">
        <v>91</v>
      </c>
      <c r="G186" s="22">
        <v>2</v>
      </c>
      <c r="H186" s="8">
        <f>112+39+234+90</f>
        <v>475</v>
      </c>
      <c r="I186" s="9">
        <f t="shared" si="14"/>
        <v>384</v>
      </c>
      <c r="J186" s="10">
        <v>46006</v>
      </c>
      <c r="K186" s="10">
        <v>46021</v>
      </c>
      <c r="L186" s="11" t="s">
        <v>90</v>
      </c>
      <c r="M186" s="12">
        <f>H186*154144.61-100000</f>
        <v>73118689.75</v>
      </c>
    </row>
    <row r="187" spans="1:13">
      <c r="A187" s="7">
        <v>184</v>
      </c>
      <c r="B187" s="7">
        <v>9</v>
      </c>
      <c r="C187" s="7">
        <v>1</v>
      </c>
      <c r="D187" s="7">
        <v>12</v>
      </c>
      <c r="E187" s="7">
        <v>5926</v>
      </c>
      <c r="F187" s="22">
        <v>54</v>
      </c>
      <c r="G187" s="22">
        <v>11</v>
      </c>
      <c r="H187" s="8">
        <f>112+234+90</f>
        <v>436</v>
      </c>
      <c r="I187" s="9">
        <f t="shared" si="14"/>
        <v>336</v>
      </c>
      <c r="J187" s="10">
        <v>46008</v>
      </c>
      <c r="K187" s="10">
        <v>46021</v>
      </c>
      <c r="L187" s="11" t="s">
        <v>484</v>
      </c>
      <c r="M187" s="12">
        <f>H187*154144.61</f>
        <v>67207049.959999993</v>
      </c>
    </row>
    <row r="188" spans="1:13">
      <c r="A188" s="7">
        <v>185</v>
      </c>
      <c r="B188" s="7">
        <v>11</v>
      </c>
      <c r="C188" s="7">
        <v>1</v>
      </c>
      <c r="D188" s="7">
        <v>12</v>
      </c>
      <c r="E188" s="7">
        <v>4277</v>
      </c>
      <c r="F188" s="22">
        <v>88</v>
      </c>
      <c r="G188" s="22">
        <v>2</v>
      </c>
      <c r="H188" s="8">
        <f>112+39+83</f>
        <v>234</v>
      </c>
      <c r="I188" s="9">
        <f t="shared" si="14"/>
        <v>936</v>
      </c>
      <c r="J188" s="10">
        <v>45981</v>
      </c>
      <c r="K188" s="10">
        <v>46019</v>
      </c>
      <c r="L188" s="11" t="s">
        <v>130</v>
      </c>
      <c r="M188" s="12">
        <f>H188*154144.61</f>
        <v>36069838.739999995</v>
      </c>
    </row>
    <row r="189" spans="1:13" ht="16.5">
      <c r="A189" s="7">
        <v>186</v>
      </c>
      <c r="B189" s="16">
        <v>14</v>
      </c>
      <c r="C189" s="16">
        <v>2</v>
      </c>
      <c r="D189" s="8">
        <v>1</v>
      </c>
      <c r="E189" s="16">
        <v>4472</v>
      </c>
      <c r="F189" s="17">
        <v>6</v>
      </c>
      <c r="G189" s="17">
        <v>9</v>
      </c>
      <c r="H189" s="17">
        <f>39+82</f>
        <v>121</v>
      </c>
      <c r="I189" s="16">
        <f t="shared" si="14"/>
        <v>768</v>
      </c>
      <c r="J189" s="18">
        <v>45600</v>
      </c>
      <c r="K189" s="18">
        <v>45631</v>
      </c>
      <c r="L189" s="19" t="s">
        <v>34</v>
      </c>
      <c r="M189" s="20">
        <f>H189*154144.61-300000</f>
        <v>18351497.809999999</v>
      </c>
    </row>
    <row r="190" spans="1:13" ht="16.5">
      <c r="A190" s="7">
        <v>187</v>
      </c>
      <c r="B190" s="16">
        <v>18</v>
      </c>
      <c r="C190" s="16">
        <v>2</v>
      </c>
      <c r="D190" s="8">
        <v>1</v>
      </c>
      <c r="E190" s="16">
        <v>9119</v>
      </c>
      <c r="F190" s="17">
        <v>47</v>
      </c>
      <c r="G190" s="17">
        <v>9</v>
      </c>
      <c r="H190" s="17">
        <f>39+40+83</f>
        <v>162</v>
      </c>
      <c r="I190" s="16">
        <f t="shared" si="14"/>
        <v>288</v>
      </c>
      <c r="J190" s="18">
        <v>45622</v>
      </c>
      <c r="K190" s="18">
        <v>45633</v>
      </c>
      <c r="L190" s="19" t="s">
        <v>35</v>
      </c>
      <c r="M190" s="20">
        <f>H190*154144.61-100000</f>
        <v>24871426.819999997</v>
      </c>
    </row>
    <row r="191" spans="1:13" ht="16.5">
      <c r="A191" s="7">
        <v>188</v>
      </c>
      <c r="B191" s="16">
        <v>14</v>
      </c>
      <c r="C191" s="16">
        <v>2</v>
      </c>
      <c r="D191" s="8">
        <v>1</v>
      </c>
      <c r="E191" s="16">
        <v>1244</v>
      </c>
      <c r="F191" s="17">
        <v>51</v>
      </c>
      <c r="G191" s="17">
        <v>9</v>
      </c>
      <c r="H191" s="17">
        <f>29+90</f>
        <v>119</v>
      </c>
      <c r="I191" s="16">
        <f t="shared" si="14"/>
        <v>288</v>
      </c>
      <c r="J191" s="18">
        <v>45632</v>
      </c>
      <c r="K191" s="18">
        <v>45643</v>
      </c>
      <c r="L191" s="19" t="s">
        <v>36</v>
      </c>
      <c r="M191" s="20">
        <f t="shared" ref="M191:M196" si="15">H191*154144.61</f>
        <v>18343208.59</v>
      </c>
    </row>
    <row r="192" spans="1:13" ht="16.5">
      <c r="A192" s="7">
        <v>189</v>
      </c>
      <c r="B192" s="16">
        <v>21</v>
      </c>
      <c r="C192" s="16">
        <v>2</v>
      </c>
      <c r="D192" s="8">
        <v>1</v>
      </c>
      <c r="E192" s="16">
        <v>4338</v>
      </c>
      <c r="F192" s="17">
        <v>52</v>
      </c>
      <c r="G192" s="17">
        <v>9</v>
      </c>
      <c r="H192" s="17">
        <f>45+29+90</f>
        <v>164</v>
      </c>
      <c r="I192" s="16">
        <f t="shared" si="14"/>
        <v>240</v>
      </c>
      <c r="J192" s="18">
        <v>45651</v>
      </c>
      <c r="K192" s="18">
        <v>45660</v>
      </c>
      <c r="L192" s="19" t="s">
        <v>57</v>
      </c>
      <c r="M192" s="20">
        <f t="shared" si="15"/>
        <v>25279716.039999999</v>
      </c>
    </row>
    <row r="193" spans="1:13" ht="16.5">
      <c r="A193" s="7">
        <v>190</v>
      </c>
      <c r="B193" s="16">
        <v>14</v>
      </c>
      <c r="C193" s="16">
        <v>2</v>
      </c>
      <c r="D193" s="8">
        <v>1</v>
      </c>
      <c r="E193" s="16">
        <v>2263</v>
      </c>
      <c r="F193" s="17">
        <v>49</v>
      </c>
      <c r="G193" s="17">
        <v>9</v>
      </c>
      <c r="H193" s="17">
        <f>39+112+39+29+90</f>
        <v>309</v>
      </c>
      <c r="I193" s="16">
        <f t="shared" si="14"/>
        <v>552</v>
      </c>
      <c r="J193" s="18">
        <v>45643</v>
      </c>
      <c r="K193" s="18">
        <v>45665</v>
      </c>
      <c r="L193" s="19" t="s">
        <v>55</v>
      </c>
      <c r="M193" s="20">
        <f t="shared" si="15"/>
        <v>47630684.489999995</v>
      </c>
    </row>
    <row r="194" spans="1:13" ht="16.5">
      <c r="A194" s="7">
        <v>191</v>
      </c>
      <c r="B194" s="16">
        <v>19</v>
      </c>
      <c r="C194" s="16">
        <v>2</v>
      </c>
      <c r="D194" s="8">
        <v>1</v>
      </c>
      <c r="E194" s="16">
        <v>1906</v>
      </c>
      <c r="F194" s="17">
        <v>43</v>
      </c>
      <c r="G194" s="17">
        <v>3</v>
      </c>
      <c r="H194" s="17">
        <f>392+39+29+90</f>
        <v>550</v>
      </c>
      <c r="I194" s="16">
        <f t="shared" si="14"/>
        <v>408</v>
      </c>
      <c r="J194" s="18">
        <v>45651</v>
      </c>
      <c r="K194" s="18">
        <v>45667</v>
      </c>
      <c r="L194" s="19" t="s">
        <v>37</v>
      </c>
      <c r="M194" s="20">
        <f t="shared" si="15"/>
        <v>84779535.499999985</v>
      </c>
    </row>
    <row r="195" spans="1:13" ht="16.5">
      <c r="A195" s="7">
        <v>192</v>
      </c>
      <c r="B195" s="15">
        <v>21</v>
      </c>
      <c r="C195" s="16">
        <v>2</v>
      </c>
      <c r="D195" s="8">
        <v>1</v>
      </c>
      <c r="E195" s="15">
        <v>4746</v>
      </c>
      <c r="F195" s="15">
        <v>52</v>
      </c>
      <c r="G195" s="15">
        <v>9</v>
      </c>
      <c r="H195" s="17">
        <f>140+39+83</f>
        <v>262</v>
      </c>
      <c r="I195" s="16">
        <f t="shared" si="14"/>
        <v>288</v>
      </c>
      <c r="J195" s="18">
        <v>45661</v>
      </c>
      <c r="K195" s="18">
        <v>45672</v>
      </c>
      <c r="L195" s="11" t="s">
        <v>40</v>
      </c>
      <c r="M195" s="20">
        <f t="shared" si="15"/>
        <v>40385887.819999993</v>
      </c>
    </row>
    <row r="196" spans="1:13" ht="16.5">
      <c r="A196" s="7">
        <v>193</v>
      </c>
      <c r="B196" s="15">
        <v>12</v>
      </c>
      <c r="C196" s="16">
        <v>2</v>
      </c>
      <c r="D196" s="8">
        <v>1</v>
      </c>
      <c r="E196" s="15">
        <v>9660</v>
      </c>
      <c r="F196" s="15">
        <v>51</v>
      </c>
      <c r="G196" s="15">
        <v>9</v>
      </c>
      <c r="H196" s="17">
        <f>221+234+83</f>
        <v>538</v>
      </c>
      <c r="I196" s="16">
        <f t="shared" si="14"/>
        <v>528</v>
      </c>
      <c r="J196" s="18">
        <v>45652</v>
      </c>
      <c r="K196" s="18">
        <v>45673</v>
      </c>
      <c r="L196" s="14" t="s">
        <v>47</v>
      </c>
      <c r="M196" s="20">
        <f t="shared" si="15"/>
        <v>82929800.179999992</v>
      </c>
    </row>
    <row r="197" spans="1:13" ht="16.5">
      <c r="A197" s="7">
        <v>194</v>
      </c>
      <c r="B197" s="15">
        <v>20</v>
      </c>
      <c r="C197" s="16">
        <v>2</v>
      </c>
      <c r="D197" s="8">
        <v>1</v>
      </c>
      <c r="E197" s="15">
        <v>7733</v>
      </c>
      <c r="F197" s="15">
        <v>5</v>
      </c>
      <c r="G197" s="15">
        <v>3</v>
      </c>
      <c r="H197" s="17">
        <f>234+39</f>
        <v>273</v>
      </c>
      <c r="I197" s="16">
        <f t="shared" si="14"/>
        <v>1224</v>
      </c>
      <c r="J197" s="18">
        <v>45624</v>
      </c>
      <c r="K197" s="18">
        <v>45674</v>
      </c>
      <c r="L197" s="21" t="s">
        <v>50</v>
      </c>
      <c r="M197" s="20">
        <f>H197*154144.61-86000</f>
        <v>41995478.529999994</v>
      </c>
    </row>
    <row r="198" spans="1:13" ht="16.5">
      <c r="A198" s="7">
        <v>195</v>
      </c>
      <c r="B198" s="15">
        <v>18</v>
      </c>
      <c r="C198" s="16">
        <v>2</v>
      </c>
      <c r="D198" s="8">
        <v>1</v>
      </c>
      <c r="E198" s="15">
        <v>9689</v>
      </c>
      <c r="F198" s="8" t="s">
        <v>48</v>
      </c>
      <c r="G198" s="8" t="s">
        <v>51</v>
      </c>
      <c r="H198" s="17">
        <f>140+39+29+82</f>
        <v>290</v>
      </c>
      <c r="I198" s="9">
        <f t="shared" si="14"/>
        <v>1080</v>
      </c>
      <c r="J198" s="18">
        <v>45634</v>
      </c>
      <c r="K198" s="18">
        <v>45678</v>
      </c>
      <c r="L198" s="11" t="s">
        <v>49</v>
      </c>
      <c r="M198" s="20">
        <f>H198*154144.61-100000</f>
        <v>44601936.899999999</v>
      </c>
    </row>
    <row r="199" spans="1:13" ht="16.5">
      <c r="A199" s="7">
        <v>196</v>
      </c>
      <c r="B199" s="15">
        <v>21</v>
      </c>
      <c r="C199" s="16">
        <v>2</v>
      </c>
      <c r="D199" s="8">
        <v>1</v>
      </c>
      <c r="E199" s="15">
        <v>7758</v>
      </c>
      <c r="F199" s="15">
        <v>31</v>
      </c>
      <c r="G199" s="15">
        <v>12</v>
      </c>
      <c r="H199" s="17">
        <f>39+90</f>
        <v>129</v>
      </c>
      <c r="I199" s="9">
        <f t="shared" si="14"/>
        <v>264</v>
      </c>
      <c r="J199" s="18">
        <v>45673</v>
      </c>
      <c r="K199" s="18">
        <v>45683</v>
      </c>
      <c r="L199" s="11" t="s">
        <v>69</v>
      </c>
      <c r="M199" s="20">
        <f t="shared" ref="M199:M215" si="16">H199*154144.61</f>
        <v>19884654.689999998</v>
      </c>
    </row>
    <row r="200" spans="1:13" ht="16.5">
      <c r="A200" s="7">
        <v>197</v>
      </c>
      <c r="B200" s="15">
        <v>12</v>
      </c>
      <c r="C200" s="16">
        <v>2</v>
      </c>
      <c r="D200" s="8">
        <v>1</v>
      </c>
      <c r="E200" s="15">
        <v>3638</v>
      </c>
      <c r="F200" s="15">
        <v>58</v>
      </c>
      <c r="G200" s="15">
        <v>12</v>
      </c>
      <c r="H200" s="17">
        <f>39+90</f>
        <v>129</v>
      </c>
      <c r="I200" s="9">
        <f t="shared" si="14"/>
        <v>312</v>
      </c>
      <c r="J200" s="18">
        <v>45673</v>
      </c>
      <c r="K200" s="18">
        <v>45685</v>
      </c>
      <c r="L200" s="11" t="s">
        <v>76</v>
      </c>
      <c r="M200" s="20">
        <f t="shared" si="16"/>
        <v>19884654.689999998</v>
      </c>
    </row>
    <row r="201" spans="1:13" ht="16.5">
      <c r="A201" s="7">
        <v>198</v>
      </c>
      <c r="B201" s="15">
        <v>20</v>
      </c>
      <c r="C201" s="16">
        <v>2</v>
      </c>
      <c r="D201" s="8">
        <v>1</v>
      </c>
      <c r="E201" s="15">
        <v>3873</v>
      </c>
      <c r="F201" s="15">
        <v>43</v>
      </c>
      <c r="G201" s="15">
        <v>3</v>
      </c>
      <c r="H201" s="17">
        <f>140+39+83</f>
        <v>262</v>
      </c>
      <c r="I201" s="9">
        <f t="shared" si="14"/>
        <v>240</v>
      </c>
      <c r="J201" s="18">
        <v>45675</v>
      </c>
      <c r="K201" s="18">
        <v>45684</v>
      </c>
      <c r="L201" s="11" t="s">
        <v>40</v>
      </c>
      <c r="M201" s="20">
        <f t="shared" si="16"/>
        <v>40385887.819999993</v>
      </c>
    </row>
    <row r="202" spans="1:13">
      <c r="A202" s="7">
        <v>199</v>
      </c>
      <c r="B202" s="15">
        <v>19</v>
      </c>
      <c r="C202" s="15">
        <v>2</v>
      </c>
      <c r="D202" s="15">
        <v>2</v>
      </c>
      <c r="E202" s="15">
        <v>8380</v>
      </c>
      <c r="F202" s="7">
        <v>58</v>
      </c>
      <c r="G202" s="7">
        <v>12</v>
      </c>
      <c r="H202" s="7">
        <f>112+39+29+90</f>
        <v>270</v>
      </c>
      <c r="I202" s="15">
        <f t="shared" si="14"/>
        <v>456</v>
      </c>
      <c r="J202" s="10">
        <v>45668</v>
      </c>
      <c r="K202" s="10">
        <v>45686</v>
      </c>
      <c r="L202" s="11" t="s">
        <v>113</v>
      </c>
      <c r="M202" s="12">
        <f t="shared" si="16"/>
        <v>41619044.699999996</v>
      </c>
    </row>
    <row r="203" spans="1:13">
      <c r="A203" s="7">
        <v>200</v>
      </c>
      <c r="B203" s="15">
        <v>16</v>
      </c>
      <c r="C203" s="15">
        <v>2</v>
      </c>
      <c r="D203" s="15">
        <v>2</v>
      </c>
      <c r="E203" s="15">
        <v>2872</v>
      </c>
      <c r="F203" s="7">
        <v>46</v>
      </c>
      <c r="G203" s="7">
        <v>9</v>
      </c>
      <c r="H203" s="7">
        <f>112+39+29+90</f>
        <v>270</v>
      </c>
      <c r="I203" s="15">
        <f t="shared" si="14"/>
        <v>336</v>
      </c>
      <c r="J203" s="10">
        <v>45678</v>
      </c>
      <c r="K203" s="10">
        <v>45691</v>
      </c>
      <c r="L203" s="11" t="s">
        <v>113</v>
      </c>
      <c r="M203" s="12">
        <f t="shared" si="16"/>
        <v>41619044.699999996</v>
      </c>
    </row>
    <row r="204" spans="1:13" ht="31.5">
      <c r="A204" s="7">
        <v>201</v>
      </c>
      <c r="B204" s="15">
        <v>17</v>
      </c>
      <c r="C204" s="15">
        <v>2</v>
      </c>
      <c r="D204" s="15">
        <v>2</v>
      </c>
      <c r="E204" s="15">
        <v>4262</v>
      </c>
      <c r="F204" s="7">
        <v>49</v>
      </c>
      <c r="G204" s="7">
        <v>9</v>
      </c>
      <c r="H204" s="7">
        <f>177+392+39+39+83</f>
        <v>730</v>
      </c>
      <c r="I204" s="15">
        <f t="shared" ref="I204:I235" si="17">(K204-J204+1)*24</f>
        <v>1272</v>
      </c>
      <c r="J204" s="10">
        <v>45647</v>
      </c>
      <c r="K204" s="10">
        <v>45699</v>
      </c>
      <c r="L204" s="11" t="s">
        <v>111</v>
      </c>
      <c r="M204" s="12">
        <f t="shared" si="16"/>
        <v>112525565.3</v>
      </c>
    </row>
    <row r="205" spans="1:13">
      <c r="A205" s="7">
        <v>202</v>
      </c>
      <c r="B205" s="15">
        <v>18</v>
      </c>
      <c r="C205" s="15">
        <v>2</v>
      </c>
      <c r="D205" s="15">
        <v>2</v>
      </c>
      <c r="E205" s="15">
        <v>3353</v>
      </c>
      <c r="F205" s="7">
        <v>47</v>
      </c>
      <c r="G205" s="7">
        <v>9</v>
      </c>
      <c r="H205" s="7">
        <f>234+39+39+45+90</f>
        <v>447</v>
      </c>
      <c r="I205" s="15">
        <f t="shared" si="17"/>
        <v>504</v>
      </c>
      <c r="J205" s="10">
        <v>45679</v>
      </c>
      <c r="K205" s="10">
        <v>45699</v>
      </c>
      <c r="L205" s="11" t="s">
        <v>114</v>
      </c>
      <c r="M205" s="12">
        <f t="shared" si="16"/>
        <v>68902640.669999987</v>
      </c>
    </row>
    <row r="206" spans="1:13">
      <c r="A206" s="7">
        <v>203</v>
      </c>
      <c r="B206" s="15">
        <v>19</v>
      </c>
      <c r="C206" s="15">
        <v>2</v>
      </c>
      <c r="D206" s="15">
        <v>2</v>
      </c>
      <c r="E206" s="15">
        <v>4766</v>
      </c>
      <c r="F206" s="7">
        <v>34</v>
      </c>
      <c r="G206" s="7">
        <v>12</v>
      </c>
      <c r="H206" s="7">
        <f>140+234+90</f>
        <v>464</v>
      </c>
      <c r="I206" s="15">
        <f t="shared" si="17"/>
        <v>384</v>
      </c>
      <c r="J206" s="10">
        <v>45686</v>
      </c>
      <c r="K206" s="10">
        <v>45701</v>
      </c>
      <c r="L206" s="11" t="s">
        <v>172</v>
      </c>
      <c r="M206" s="12">
        <f t="shared" si="16"/>
        <v>71523099.039999992</v>
      </c>
    </row>
    <row r="207" spans="1:13">
      <c r="A207" s="7">
        <v>204</v>
      </c>
      <c r="B207" s="15">
        <v>20</v>
      </c>
      <c r="C207" s="15">
        <v>2</v>
      </c>
      <c r="D207" s="15">
        <v>2</v>
      </c>
      <c r="E207" s="15">
        <v>2280</v>
      </c>
      <c r="F207" s="7">
        <v>5</v>
      </c>
      <c r="G207" s="7">
        <v>3</v>
      </c>
      <c r="H207" s="7">
        <f>39+392+90</f>
        <v>521</v>
      </c>
      <c r="I207" s="15">
        <f t="shared" si="17"/>
        <v>528</v>
      </c>
      <c r="J207" s="10">
        <v>45685</v>
      </c>
      <c r="K207" s="10">
        <v>45706</v>
      </c>
      <c r="L207" s="11" t="s">
        <v>167</v>
      </c>
      <c r="M207" s="12">
        <f t="shared" si="16"/>
        <v>80309341.809999987</v>
      </c>
    </row>
    <row r="208" spans="1:13">
      <c r="A208" s="7">
        <v>205</v>
      </c>
      <c r="B208" s="15">
        <v>12</v>
      </c>
      <c r="C208" s="15">
        <v>2</v>
      </c>
      <c r="D208" s="15">
        <v>2</v>
      </c>
      <c r="E208" s="15">
        <v>3636</v>
      </c>
      <c r="F208" s="7">
        <v>58</v>
      </c>
      <c r="G208" s="7">
        <v>12</v>
      </c>
      <c r="H208" s="7">
        <f>(221*0.9)+39+45+29+90</f>
        <v>401.9</v>
      </c>
      <c r="I208" s="15">
        <f t="shared" si="17"/>
        <v>528</v>
      </c>
      <c r="J208" s="10">
        <v>45686</v>
      </c>
      <c r="K208" s="10">
        <v>45707</v>
      </c>
      <c r="L208" s="11" t="s">
        <v>122</v>
      </c>
      <c r="M208" s="12">
        <f t="shared" si="16"/>
        <v>61950718.758999988</v>
      </c>
    </row>
    <row r="209" spans="1:13">
      <c r="A209" s="7">
        <v>206</v>
      </c>
      <c r="B209" s="15">
        <v>17</v>
      </c>
      <c r="C209" s="15">
        <v>2</v>
      </c>
      <c r="D209" s="15">
        <v>2</v>
      </c>
      <c r="E209" s="15">
        <v>9238</v>
      </c>
      <c r="F209" s="7">
        <v>41</v>
      </c>
      <c r="G209" s="7">
        <v>3</v>
      </c>
      <c r="H209" s="7">
        <f>112+29+90</f>
        <v>231</v>
      </c>
      <c r="I209" s="15">
        <f t="shared" si="17"/>
        <v>264</v>
      </c>
      <c r="J209" s="10">
        <v>45699</v>
      </c>
      <c r="K209" s="10">
        <v>45709</v>
      </c>
      <c r="L209" s="11" t="s">
        <v>105</v>
      </c>
      <c r="M209" s="12">
        <f t="shared" si="16"/>
        <v>35607404.909999996</v>
      </c>
    </row>
    <row r="210" spans="1:13">
      <c r="A210" s="7">
        <v>207</v>
      </c>
      <c r="B210" s="15">
        <v>13</v>
      </c>
      <c r="C210" s="15">
        <v>2</v>
      </c>
      <c r="D210" s="15">
        <v>2</v>
      </c>
      <c r="E210" s="15">
        <v>2707</v>
      </c>
      <c r="F210" s="7">
        <v>49</v>
      </c>
      <c r="G210" s="7">
        <v>9</v>
      </c>
      <c r="H210" s="7">
        <f>140+39+83</f>
        <v>262</v>
      </c>
      <c r="I210" s="15">
        <f t="shared" si="17"/>
        <v>240</v>
      </c>
      <c r="J210" s="10">
        <v>45701</v>
      </c>
      <c r="K210" s="10">
        <v>45710</v>
      </c>
      <c r="L210" s="11" t="s">
        <v>123</v>
      </c>
      <c r="M210" s="12">
        <f t="shared" si="16"/>
        <v>40385887.819999993</v>
      </c>
    </row>
    <row r="211" spans="1:13">
      <c r="A211" s="7">
        <v>208</v>
      </c>
      <c r="B211" s="15">
        <v>18</v>
      </c>
      <c r="C211" s="15">
        <v>2</v>
      </c>
      <c r="D211" s="15">
        <v>2</v>
      </c>
      <c r="E211" s="15">
        <v>8951</v>
      </c>
      <c r="F211" s="7">
        <v>43</v>
      </c>
      <c r="G211" s="7">
        <v>3</v>
      </c>
      <c r="H211" s="7">
        <f>177+39+137+29+77</f>
        <v>459</v>
      </c>
      <c r="I211" s="15">
        <f t="shared" si="17"/>
        <v>288</v>
      </c>
      <c r="J211" s="10">
        <v>45699</v>
      </c>
      <c r="K211" s="10">
        <v>45710</v>
      </c>
      <c r="L211" s="11" t="s">
        <v>112</v>
      </c>
      <c r="M211" s="12">
        <f t="shared" si="16"/>
        <v>70752375.989999995</v>
      </c>
    </row>
    <row r="212" spans="1:13">
      <c r="A212" s="7">
        <v>209</v>
      </c>
      <c r="B212" s="15">
        <v>15</v>
      </c>
      <c r="C212" s="15">
        <v>2</v>
      </c>
      <c r="D212" s="15">
        <v>2</v>
      </c>
      <c r="E212" s="15">
        <v>3895</v>
      </c>
      <c r="F212" s="7">
        <v>5</v>
      </c>
      <c r="G212" s="7">
        <v>3</v>
      </c>
      <c r="H212" s="7">
        <f>39+392+90</f>
        <v>521</v>
      </c>
      <c r="I212" s="15">
        <f t="shared" si="17"/>
        <v>480</v>
      </c>
      <c r="J212" s="10">
        <v>45696</v>
      </c>
      <c r="K212" s="10">
        <v>45715</v>
      </c>
      <c r="L212" s="11" t="s">
        <v>206</v>
      </c>
      <c r="M212" s="12">
        <f t="shared" si="16"/>
        <v>80309341.809999987</v>
      </c>
    </row>
    <row r="213" spans="1:13">
      <c r="A213" s="7">
        <v>210</v>
      </c>
      <c r="B213" s="15">
        <v>16</v>
      </c>
      <c r="C213" s="15">
        <v>2</v>
      </c>
      <c r="D213" s="15">
        <v>2</v>
      </c>
      <c r="E213" s="15">
        <v>8429</v>
      </c>
      <c r="F213" s="7">
        <v>40</v>
      </c>
      <c r="G213" s="7">
        <v>12</v>
      </c>
      <c r="H213" s="7">
        <f>(268*0.9)+39+29+90</f>
        <v>399.20000000000005</v>
      </c>
      <c r="I213" s="15">
        <f t="shared" si="17"/>
        <v>624</v>
      </c>
      <c r="J213" s="10">
        <v>45691</v>
      </c>
      <c r="K213" s="10">
        <v>45716</v>
      </c>
      <c r="L213" s="11" t="s">
        <v>106</v>
      </c>
      <c r="M213" s="12">
        <f t="shared" si="16"/>
        <v>61534528.311999999</v>
      </c>
    </row>
    <row r="214" spans="1:13" ht="16.5">
      <c r="A214" s="7">
        <v>211</v>
      </c>
      <c r="B214" s="15">
        <v>17</v>
      </c>
      <c r="C214" s="15">
        <v>2</v>
      </c>
      <c r="D214" s="15">
        <v>3</v>
      </c>
      <c r="E214" s="15">
        <v>9572</v>
      </c>
      <c r="F214" s="15">
        <v>31</v>
      </c>
      <c r="G214" s="15">
        <v>12</v>
      </c>
      <c r="H214" s="17">
        <f>112+39+29+90</f>
        <v>270</v>
      </c>
      <c r="I214" s="9">
        <f t="shared" si="17"/>
        <v>312</v>
      </c>
      <c r="J214" s="18">
        <v>45709</v>
      </c>
      <c r="K214" s="18">
        <v>45721</v>
      </c>
      <c r="L214" s="11" t="s">
        <v>80</v>
      </c>
      <c r="M214" s="12">
        <f t="shared" si="16"/>
        <v>41619044.699999996</v>
      </c>
    </row>
    <row r="215" spans="1:13" ht="31.5">
      <c r="A215" s="7">
        <v>212</v>
      </c>
      <c r="B215" s="15">
        <v>21</v>
      </c>
      <c r="C215" s="15">
        <v>2</v>
      </c>
      <c r="D215" s="15">
        <v>3</v>
      </c>
      <c r="E215" s="15">
        <v>4441</v>
      </c>
      <c r="F215" s="15" t="s">
        <v>48</v>
      </c>
      <c r="G215" s="15" t="s">
        <v>51</v>
      </c>
      <c r="H215" s="17">
        <f>140+164+39+29+82</f>
        <v>454</v>
      </c>
      <c r="I215" s="9">
        <f t="shared" si="17"/>
        <v>936</v>
      </c>
      <c r="J215" s="18">
        <v>45684</v>
      </c>
      <c r="K215" s="18">
        <v>45722</v>
      </c>
      <c r="L215" s="11" t="s">
        <v>125</v>
      </c>
      <c r="M215" s="12">
        <f t="shared" si="16"/>
        <v>69981652.939999998</v>
      </c>
    </row>
    <row r="216" spans="1:13" ht="16.5">
      <c r="A216" s="7">
        <v>213</v>
      </c>
      <c r="B216" s="15">
        <v>16</v>
      </c>
      <c r="C216" s="15">
        <v>2</v>
      </c>
      <c r="D216" s="15">
        <v>3</v>
      </c>
      <c r="E216" s="15">
        <v>9906</v>
      </c>
      <c r="F216" s="15">
        <v>109</v>
      </c>
      <c r="G216" s="15">
        <v>12</v>
      </c>
      <c r="H216" s="17">
        <f>112+39+83</f>
        <v>234</v>
      </c>
      <c r="I216" s="9">
        <f t="shared" si="17"/>
        <v>264</v>
      </c>
      <c r="J216" s="18">
        <v>45716</v>
      </c>
      <c r="K216" s="18">
        <v>45726</v>
      </c>
      <c r="L216" s="11" t="s">
        <v>130</v>
      </c>
      <c r="M216" s="20">
        <f>H216*154144.61-100000</f>
        <v>35969838.739999995</v>
      </c>
    </row>
    <row r="217" spans="1:13" ht="16.5">
      <c r="A217" s="7">
        <v>214</v>
      </c>
      <c r="B217" s="15">
        <v>13</v>
      </c>
      <c r="C217" s="15">
        <v>2</v>
      </c>
      <c r="D217" s="15">
        <v>3</v>
      </c>
      <c r="E217" s="15">
        <v>1987</v>
      </c>
      <c r="F217" s="15">
        <v>45</v>
      </c>
      <c r="G217" s="15">
        <v>3</v>
      </c>
      <c r="H217" s="17">
        <f>39+392+90</f>
        <v>521</v>
      </c>
      <c r="I217" s="9">
        <f t="shared" si="17"/>
        <v>504</v>
      </c>
      <c r="J217" s="18">
        <v>45710</v>
      </c>
      <c r="K217" s="18">
        <v>45730</v>
      </c>
      <c r="L217" s="11" t="s">
        <v>83</v>
      </c>
      <c r="M217" s="12">
        <f>H217*154144.61</f>
        <v>80309341.809999987</v>
      </c>
    </row>
    <row r="218" spans="1:13" ht="16.5">
      <c r="A218" s="7">
        <v>215</v>
      </c>
      <c r="B218" s="15">
        <v>17</v>
      </c>
      <c r="C218" s="15">
        <v>2</v>
      </c>
      <c r="D218" s="15">
        <v>3</v>
      </c>
      <c r="E218" s="15">
        <v>146</v>
      </c>
      <c r="F218" s="15">
        <v>41</v>
      </c>
      <c r="G218" s="15">
        <v>3</v>
      </c>
      <c r="H218" s="17">
        <f>140+39+29+90</f>
        <v>298</v>
      </c>
      <c r="I218" s="9">
        <f t="shared" si="17"/>
        <v>240</v>
      </c>
      <c r="J218" s="18">
        <v>45721</v>
      </c>
      <c r="K218" s="18">
        <v>45730</v>
      </c>
      <c r="L218" s="11" t="s">
        <v>49</v>
      </c>
      <c r="M218" s="12">
        <f>H218*154144.61</f>
        <v>45935093.779999994</v>
      </c>
    </row>
    <row r="219" spans="1:13" ht="31.5">
      <c r="A219" s="7">
        <v>216</v>
      </c>
      <c r="B219" s="15">
        <v>14</v>
      </c>
      <c r="C219" s="15">
        <v>2</v>
      </c>
      <c r="D219" s="15">
        <v>3</v>
      </c>
      <c r="E219" s="15">
        <v>3539</v>
      </c>
      <c r="F219" s="15" t="s">
        <v>132</v>
      </c>
      <c r="G219" s="15" t="s">
        <v>51</v>
      </c>
      <c r="H219" s="17">
        <f>341+39+137+39+77</f>
        <v>633</v>
      </c>
      <c r="I219" s="9">
        <f t="shared" si="17"/>
        <v>1656</v>
      </c>
      <c r="J219" s="18">
        <v>45666</v>
      </c>
      <c r="K219" s="18">
        <v>45734</v>
      </c>
      <c r="L219" s="11" t="s">
        <v>150</v>
      </c>
      <c r="M219" s="20">
        <f>H219*154144.61-80000</f>
        <v>97493538.129999995</v>
      </c>
    </row>
    <row r="220" spans="1:13" ht="31.5">
      <c r="A220" s="7">
        <v>217</v>
      </c>
      <c r="B220" s="15">
        <v>19</v>
      </c>
      <c r="C220" s="15">
        <v>2</v>
      </c>
      <c r="D220" s="15">
        <v>3</v>
      </c>
      <c r="E220" s="15">
        <v>6648</v>
      </c>
      <c r="F220" s="15">
        <v>9</v>
      </c>
      <c r="G220" s="15">
        <v>12</v>
      </c>
      <c r="H220" s="17">
        <f>39+45+112+37+39+29+83</f>
        <v>384</v>
      </c>
      <c r="I220" s="9">
        <f t="shared" si="17"/>
        <v>480</v>
      </c>
      <c r="J220" s="18">
        <v>45717</v>
      </c>
      <c r="K220" s="18">
        <v>45736</v>
      </c>
      <c r="L220" s="14" t="s">
        <v>135</v>
      </c>
      <c r="M220" s="12">
        <f>H220*154144.61</f>
        <v>59191530.239999995</v>
      </c>
    </row>
    <row r="221" spans="1:13" ht="16.5">
      <c r="A221" s="7">
        <v>218</v>
      </c>
      <c r="B221" s="15">
        <v>13</v>
      </c>
      <c r="C221" s="15">
        <v>2</v>
      </c>
      <c r="D221" s="15">
        <v>3</v>
      </c>
      <c r="E221" s="15">
        <v>7315</v>
      </c>
      <c r="F221" s="15">
        <v>47</v>
      </c>
      <c r="G221" s="15">
        <v>9</v>
      </c>
      <c r="H221" s="17">
        <f>137+39+77</f>
        <v>253</v>
      </c>
      <c r="I221" s="9">
        <f t="shared" si="17"/>
        <v>240</v>
      </c>
      <c r="J221" s="18">
        <v>45730</v>
      </c>
      <c r="K221" s="18">
        <v>45739</v>
      </c>
      <c r="L221" s="19" t="s">
        <v>100</v>
      </c>
      <c r="M221" s="12">
        <f>H221*154144.61</f>
        <v>38998586.329999998</v>
      </c>
    </row>
    <row r="222" spans="1:13" ht="16.5">
      <c r="A222" s="7">
        <v>219</v>
      </c>
      <c r="B222" s="15">
        <v>17</v>
      </c>
      <c r="C222" s="15">
        <v>2</v>
      </c>
      <c r="D222" s="15">
        <v>3</v>
      </c>
      <c r="E222" s="15">
        <v>8799</v>
      </c>
      <c r="F222" s="15" t="s">
        <v>48</v>
      </c>
      <c r="G222" s="15" t="s">
        <v>51</v>
      </c>
      <c r="H222" s="17">
        <f>137+39+77</f>
        <v>253</v>
      </c>
      <c r="I222" s="9">
        <f t="shared" si="17"/>
        <v>240</v>
      </c>
      <c r="J222" s="18">
        <v>45730</v>
      </c>
      <c r="K222" s="18">
        <v>45739</v>
      </c>
      <c r="L222" s="19" t="s">
        <v>100</v>
      </c>
      <c r="M222" s="20">
        <f>H222*154144.61-80000</f>
        <v>38918586.329999998</v>
      </c>
    </row>
    <row r="223" spans="1:13" ht="16.5">
      <c r="A223" s="7">
        <v>220</v>
      </c>
      <c r="B223" s="15">
        <v>14</v>
      </c>
      <c r="C223" s="15">
        <v>2</v>
      </c>
      <c r="D223" s="15">
        <v>3</v>
      </c>
      <c r="E223" s="15">
        <v>5338</v>
      </c>
      <c r="F223" s="15" t="s">
        <v>48</v>
      </c>
      <c r="G223" s="15" t="s">
        <v>51</v>
      </c>
      <c r="H223" s="17">
        <f>137+77</f>
        <v>214</v>
      </c>
      <c r="I223" s="9">
        <f t="shared" si="17"/>
        <v>144</v>
      </c>
      <c r="J223" s="18">
        <v>45735</v>
      </c>
      <c r="K223" s="18">
        <v>45740</v>
      </c>
      <c r="L223" s="19" t="s">
        <v>136</v>
      </c>
      <c r="M223" s="12">
        <f>H223*154144.61</f>
        <v>32986946.539999995</v>
      </c>
    </row>
    <row r="224" spans="1:13" ht="15.75" customHeight="1">
      <c r="A224" s="7">
        <v>221</v>
      </c>
      <c r="B224" s="15">
        <v>19</v>
      </c>
      <c r="C224" s="15">
        <v>2</v>
      </c>
      <c r="D224" s="15">
        <v>3</v>
      </c>
      <c r="E224" s="15">
        <v>4291</v>
      </c>
      <c r="F224" s="15" t="s">
        <v>142</v>
      </c>
      <c r="G224" s="15" t="s">
        <v>51</v>
      </c>
      <c r="H224" s="17">
        <f>137+39+77</f>
        <v>253</v>
      </c>
      <c r="I224" s="9">
        <f t="shared" si="17"/>
        <v>144</v>
      </c>
      <c r="J224" s="18">
        <v>45736</v>
      </c>
      <c r="K224" s="18">
        <v>45741</v>
      </c>
      <c r="L224" s="19" t="s">
        <v>100</v>
      </c>
      <c r="M224" s="12">
        <f>H224*154144.61</f>
        <v>38998586.329999998</v>
      </c>
    </row>
    <row r="225" spans="1:13" ht="31.5">
      <c r="A225" s="7">
        <v>222</v>
      </c>
      <c r="B225" s="15">
        <v>15</v>
      </c>
      <c r="C225" s="15">
        <v>2</v>
      </c>
      <c r="D225" s="15">
        <v>3</v>
      </c>
      <c r="E225" s="15">
        <v>9695</v>
      </c>
      <c r="F225" s="15">
        <v>42</v>
      </c>
      <c r="G225" s="15">
        <v>3</v>
      </c>
      <c r="H225" s="17">
        <f>177+45+164+39+29+90</f>
        <v>544</v>
      </c>
      <c r="I225" s="9">
        <f t="shared" si="17"/>
        <v>768</v>
      </c>
      <c r="J225" s="18">
        <v>45715</v>
      </c>
      <c r="K225" s="18">
        <v>45746</v>
      </c>
      <c r="L225" s="27" t="s">
        <v>143</v>
      </c>
      <c r="M225" s="12">
        <f>H225*154144.61</f>
        <v>83854667.839999989</v>
      </c>
    </row>
    <row r="226" spans="1:13" ht="16.5">
      <c r="A226" s="7">
        <v>223</v>
      </c>
      <c r="B226" s="15">
        <v>20</v>
      </c>
      <c r="C226" s="15">
        <v>2</v>
      </c>
      <c r="D226" s="15">
        <v>3</v>
      </c>
      <c r="E226" s="15">
        <v>4753</v>
      </c>
      <c r="F226" s="15" t="s">
        <v>48</v>
      </c>
      <c r="G226" s="15" t="s">
        <v>51</v>
      </c>
      <c r="H226" s="17">
        <f>39+29+82</f>
        <v>150</v>
      </c>
      <c r="I226" s="9">
        <f t="shared" si="17"/>
        <v>960</v>
      </c>
      <c r="J226" s="18">
        <v>45706</v>
      </c>
      <c r="K226" s="18">
        <v>45745</v>
      </c>
      <c r="L226" s="11" t="s">
        <v>144</v>
      </c>
      <c r="M226" s="12">
        <f>H226*154144.61-100000-65000-65000</f>
        <v>22891691.499999996</v>
      </c>
    </row>
    <row r="227" spans="1:13" ht="16.5">
      <c r="A227" s="7">
        <v>224</v>
      </c>
      <c r="B227" s="15">
        <v>18</v>
      </c>
      <c r="C227" s="15">
        <v>2</v>
      </c>
      <c r="D227" s="15">
        <v>4</v>
      </c>
      <c r="E227" s="15">
        <v>1069</v>
      </c>
      <c r="F227" s="15">
        <v>34</v>
      </c>
      <c r="G227" s="15">
        <v>12</v>
      </c>
      <c r="H227" s="7">
        <f>112+39+29+90</f>
        <v>270</v>
      </c>
      <c r="I227" s="9">
        <f t="shared" si="17"/>
        <v>960</v>
      </c>
      <c r="J227" s="18">
        <v>45712</v>
      </c>
      <c r="K227" s="18">
        <v>45751</v>
      </c>
      <c r="L227" s="11" t="s">
        <v>80</v>
      </c>
      <c r="M227" s="12">
        <f>H227*154144.61</f>
        <v>41619044.699999996</v>
      </c>
    </row>
    <row r="228" spans="1:13" ht="16.5">
      <c r="A228" s="7">
        <v>225</v>
      </c>
      <c r="B228" s="15">
        <v>15</v>
      </c>
      <c r="C228" s="15">
        <v>2</v>
      </c>
      <c r="D228" s="15">
        <v>4</v>
      </c>
      <c r="E228" s="15">
        <v>8144</v>
      </c>
      <c r="F228" s="15">
        <v>18</v>
      </c>
      <c r="G228" s="15">
        <v>3</v>
      </c>
      <c r="H228" s="7">
        <f>221+83</f>
        <v>304</v>
      </c>
      <c r="I228" s="9">
        <f t="shared" si="17"/>
        <v>216</v>
      </c>
      <c r="J228" s="18">
        <v>45747</v>
      </c>
      <c r="K228" s="18">
        <v>45755</v>
      </c>
      <c r="L228" s="11" t="s">
        <v>174</v>
      </c>
      <c r="M228" s="12">
        <f>H228*154144.61</f>
        <v>46859961.439999998</v>
      </c>
    </row>
    <row r="229" spans="1:13" ht="16.5">
      <c r="A229" s="7">
        <v>226</v>
      </c>
      <c r="B229" s="15">
        <v>21</v>
      </c>
      <c r="C229" s="15">
        <v>2</v>
      </c>
      <c r="D229" s="15">
        <v>4</v>
      </c>
      <c r="E229" s="15">
        <v>3560</v>
      </c>
      <c r="F229" s="15">
        <v>41</v>
      </c>
      <c r="G229" s="15">
        <v>3</v>
      </c>
      <c r="H229" s="7">
        <f>37+83</f>
        <v>120</v>
      </c>
      <c r="I229" s="9">
        <f t="shared" si="17"/>
        <v>840</v>
      </c>
      <c r="J229" s="18">
        <v>45722</v>
      </c>
      <c r="K229" s="18">
        <v>45756</v>
      </c>
      <c r="L229" s="11" t="s">
        <v>30</v>
      </c>
      <c r="M229" s="12">
        <f>H229*154144.61</f>
        <v>18497353.199999999</v>
      </c>
    </row>
    <row r="230" spans="1:13">
      <c r="A230" s="7">
        <v>227</v>
      </c>
      <c r="B230" s="15">
        <v>15</v>
      </c>
      <c r="C230" s="15">
        <v>2</v>
      </c>
      <c r="D230" s="15">
        <v>4</v>
      </c>
      <c r="E230" s="15">
        <v>6508</v>
      </c>
      <c r="F230" s="7">
        <v>41</v>
      </c>
      <c r="G230" s="7">
        <v>3</v>
      </c>
      <c r="H230" s="7">
        <f>177+29+90</f>
        <v>296</v>
      </c>
      <c r="I230" s="15">
        <f t="shared" si="17"/>
        <v>216</v>
      </c>
      <c r="J230" s="10">
        <v>45756</v>
      </c>
      <c r="K230" s="10">
        <v>45764</v>
      </c>
      <c r="L230" s="11" t="s">
        <v>191</v>
      </c>
      <c r="M230" s="12">
        <f>H230*154144.61</f>
        <v>45626804.559999995</v>
      </c>
    </row>
    <row r="231" spans="1:13">
      <c r="A231" s="7">
        <v>228</v>
      </c>
      <c r="B231" s="15">
        <v>18</v>
      </c>
      <c r="C231" s="15">
        <v>2</v>
      </c>
      <c r="D231" s="15">
        <v>4</v>
      </c>
      <c r="E231" s="15">
        <v>3757</v>
      </c>
      <c r="F231" s="7">
        <v>31</v>
      </c>
      <c r="G231" s="7">
        <v>12</v>
      </c>
      <c r="H231" s="7">
        <f>112+39+83</f>
        <v>234</v>
      </c>
      <c r="I231" s="15">
        <f t="shared" si="17"/>
        <v>360</v>
      </c>
      <c r="J231" s="10">
        <v>45751</v>
      </c>
      <c r="K231" s="10">
        <v>45765</v>
      </c>
      <c r="L231" s="11" t="s">
        <v>192</v>
      </c>
      <c r="M231" s="12">
        <f>H231*154144.61-100000</f>
        <v>35969838.739999995</v>
      </c>
    </row>
    <row r="232" spans="1:13">
      <c r="A232" s="7">
        <v>229</v>
      </c>
      <c r="B232" s="15">
        <v>20</v>
      </c>
      <c r="C232" s="15">
        <v>2</v>
      </c>
      <c r="D232" s="15">
        <v>4</v>
      </c>
      <c r="E232" s="15">
        <v>6371</v>
      </c>
      <c r="F232" s="7">
        <v>40</v>
      </c>
      <c r="G232" s="7">
        <v>12</v>
      </c>
      <c r="H232" s="7">
        <f>268+83</f>
        <v>351</v>
      </c>
      <c r="I232" s="15">
        <f t="shared" si="17"/>
        <v>336</v>
      </c>
      <c r="J232" s="10">
        <v>45752</v>
      </c>
      <c r="K232" s="10">
        <v>45765</v>
      </c>
      <c r="L232" s="11" t="s">
        <v>193</v>
      </c>
      <c r="M232" s="12">
        <f>H232*154144.61</f>
        <v>54104758.109999992</v>
      </c>
    </row>
    <row r="233" spans="1:13" ht="31.5">
      <c r="A233" s="7">
        <v>230</v>
      </c>
      <c r="B233" s="15">
        <v>19</v>
      </c>
      <c r="C233" s="15">
        <v>2</v>
      </c>
      <c r="D233" s="15">
        <v>4</v>
      </c>
      <c r="E233" s="15">
        <v>4429</v>
      </c>
      <c r="F233" s="15">
        <v>49</v>
      </c>
      <c r="G233" s="15">
        <v>9</v>
      </c>
      <c r="H233" s="7">
        <f>268+39+29+137+77</f>
        <v>550</v>
      </c>
      <c r="I233" s="15">
        <f t="shared" si="17"/>
        <v>816</v>
      </c>
      <c r="J233" s="10">
        <v>45739</v>
      </c>
      <c r="K233" s="10">
        <v>45772</v>
      </c>
      <c r="L233" s="11" t="s">
        <v>199</v>
      </c>
      <c r="M233" s="12">
        <f>H233*154144.61-100000</f>
        <v>84679535.499999985</v>
      </c>
    </row>
    <row r="234" spans="1:13">
      <c r="A234" s="7">
        <v>231</v>
      </c>
      <c r="B234" s="15">
        <v>15</v>
      </c>
      <c r="C234" s="15">
        <v>2</v>
      </c>
      <c r="D234" s="15">
        <v>4</v>
      </c>
      <c r="E234" s="15">
        <v>4812</v>
      </c>
      <c r="F234" s="15">
        <v>47</v>
      </c>
      <c r="G234" s="15">
        <v>9</v>
      </c>
      <c r="H234" s="7">
        <f>268+79</f>
        <v>347</v>
      </c>
      <c r="I234" s="15">
        <f t="shared" si="17"/>
        <v>360</v>
      </c>
      <c r="J234" s="10">
        <v>45763</v>
      </c>
      <c r="K234" s="10">
        <v>45777</v>
      </c>
      <c r="L234" s="11" t="s">
        <v>82</v>
      </c>
      <c r="M234" s="12">
        <f>H234*154144.61</f>
        <v>53488179.669999994</v>
      </c>
    </row>
    <row r="235" spans="1:13">
      <c r="A235" s="7">
        <v>232</v>
      </c>
      <c r="B235" s="15">
        <v>21</v>
      </c>
      <c r="C235" s="15">
        <v>2</v>
      </c>
      <c r="D235" s="15">
        <v>4</v>
      </c>
      <c r="E235" s="15">
        <v>6937</v>
      </c>
      <c r="F235" s="15">
        <v>18</v>
      </c>
      <c r="G235" s="15">
        <v>3</v>
      </c>
      <c r="H235" s="7">
        <f>(177)*0.9+29+90</f>
        <v>278.3</v>
      </c>
      <c r="I235" s="15">
        <f t="shared" si="17"/>
        <v>504</v>
      </c>
      <c r="J235" s="10">
        <v>45757</v>
      </c>
      <c r="K235" s="10">
        <v>45777</v>
      </c>
      <c r="L235" s="11" t="s">
        <v>200</v>
      </c>
      <c r="M235" s="12">
        <f>H235*154144.61</f>
        <v>42898444.963</v>
      </c>
    </row>
    <row r="236" spans="1:13" ht="16.5">
      <c r="A236" s="7">
        <v>233</v>
      </c>
      <c r="B236" s="16">
        <v>19</v>
      </c>
      <c r="C236" s="16">
        <v>2</v>
      </c>
      <c r="D236" s="15">
        <v>5</v>
      </c>
      <c r="E236" s="16">
        <v>9168</v>
      </c>
      <c r="F236" s="17" t="s">
        <v>48</v>
      </c>
      <c r="G236" s="17" t="s">
        <v>51</v>
      </c>
      <c r="H236" s="17">
        <f>137+66</f>
        <v>203</v>
      </c>
      <c r="I236" s="16">
        <f t="shared" ref="I236:I267" si="18">(K236-J236+1)*24</f>
        <v>240</v>
      </c>
      <c r="J236" s="18">
        <v>45772</v>
      </c>
      <c r="K236" s="18">
        <v>45781</v>
      </c>
      <c r="L236" s="19" t="s">
        <v>229</v>
      </c>
      <c r="M236" s="20">
        <f>H236*154144.61</f>
        <v>31291355.829999998</v>
      </c>
    </row>
    <row r="237" spans="1:13" ht="16.5">
      <c r="A237" s="7">
        <v>234</v>
      </c>
      <c r="B237" s="16">
        <v>21</v>
      </c>
      <c r="C237" s="16">
        <v>2</v>
      </c>
      <c r="D237" s="15">
        <v>5</v>
      </c>
      <c r="E237" s="16">
        <v>6940</v>
      </c>
      <c r="F237" s="17">
        <v>43</v>
      </c>
      <c r="G237" s="17">
        <v>3</v>
      </c>
      <c r="H237" s="17">
        <f>177+29+79</f>
        <v>285</v>
      </c>
      <c r="I237" s="16">
        <f t="shared" si="18"/>
        <v>240</v>
      </c>
      <c r="J237" s="18">
        <v>45777</v>
      </c>
      <c r="K237" s="18">
        <v>45786</v>
      </c>
      <c r="L237" s="19" t="s">
        <v>235</v>
      </c>
      <c r="M237" s="20">
        <f>H237*154144.61</f>
        <v>43931213.849999994</v>
      </c>
    </row>
    <row r="238" spans="1:13" ht="16.5">
      <c r="A238" s="7">
        <v>235</v>
      </c>
      <c r="B238" s="16">
        <v>14</v>
      </c>
      <c r="C238" s="16">
        <v>2</v>
      </c>
      <c r="D238" s="15">
        <v>5</v>
      </c>
      <c r="E238" s="16">
        <v>7404</v>
      </c>
      <c r="F238" s="17" t="s">
        <v>132</v>
      </c>
      <c r="G238" s="17" t="s">
        <v>51</v>
      </c>
      <c r="H238" s="17">
        <f>140+39+29+71</f>
        <v>279</v>
      </c>
      <c r="I238" s="16">
        <f t="shared" si="18"/>
        <v>240</v>
      </c>
      <c r="J238" s="18">
        <v>45778</v>
      </c>
      <c r="K238" s="18">
        <v>45787</v>
      </c>
      <c r="L238" s="19" t="s">
        <v>236</v>
      </c>
      <c r="M238" s="20">
        <f>H238*154144.61-100000</f>
        <v>42906346.189999998</v>
      </c>
    </row>
    <row r="239" spans="1:13" ht="16.5">
      <c r="A239" s="7">
        <v>236</v>
      </c>
      <c r="B239" s="16">
        <v>17</v>
      </c>
      <c r="C239" s="16">
        <v>2</v>
      </c>
      <c r="D239" s="15">
        <v>5</v>
      </c>
      <c r="E239" s="16">
        <v>1472</v>
      </c>
      <c r="F239" s="17">
        <v>34</v>
      </c>
      <c r="G239" s="17">
        <v>12</v>
      </c>
      <c r="H239" s="17">
        <f>177+37+39+45+79</f>
        <v>377</v>
      </c>
      <c r="I239" s="16">
        <f t="shared" si="18"/>
        <v>408</v>
      </c>
      <c r="J239" s="18">
        <v>45772</v>
      </c>
      <c r="K239" s="18">
        <v>45788</v>
      </c>
      <c r="L239" s="19" t="s">
        <v>253</v>
      </c>
      <c r="M239" s="20">
        <f>H239*154144.61</f>
        <v>58112517.969999991</v>
      </c>
    </row>
    <row r="240" spans="1:13" ht="16.5">
      <c r="A240" s="7">
        <v>237</v>
      </c>
      <c r="B240" s="16">
        <v>13</v>
      </c>
      <c r="C240" s="16">
        <v>2</v>
      </c>
      <c r="D240" s="15">
        <v>5</v>
      </c>
      <c r="E240" s="16">
        <v>4498</v>
      </c>
      <c r="F240" s="17">
        <v>5</v>
      </c>
      <c r="G240" s="17">
        <v>3</v>
      </c>
      <c r="H240" s="17">
        <f>140+39+29+72</f>
        <v>280</v>
      </c>
      <c r="I240" s="16">
        <f t="shared" si="18"/>
        <v>192</v>
      </c>
      <c r="J240" s="18">
        <v>45784</v>
      </c>
      <c r="K240" s="18">
        <v>45791</v>
      </c>
      <c r="L240" s="19" t="s">
        <v>236</v>
      </c>
      <c r="M240" s="20">
        <f>H240*154144.61</f>
        <v>43160490.799999997</v>
      </c>
    </row>
    <row r="241" spans="1:13" ht="16.5">
      <c r="A241" s="7">
        <v>238</v>
      </c>
      <c r="B241" s="16">
        <v>17</v>
      </c>
      <c r="C241" s="16">
        <v>2</v>
      </c>
      <c r="D241" s="15">
        <v>5</v>
      </c>
      <c r="E241" s="16">
        <v>6451</v>
      </c>
      <c r="F241" s="17" t="s">
        <v>215</v>
      </c>
      <c r="G241" s="17" t="s">
        <v>51</v>
      </c>
      <c r="H241" s="17">
        <f>221+39+71</f>
        <v>331</v>
      </c>
      <c r="I241" s="16">
        <f t="shared" si="18"/>
        <v>192</v>
      </c>
      <c r="J241" s="18">
        <v>45788</v>
      </c>
      <c r="K241" s="18">
        <v>45795</v>
      </c>
      <c r="L241" s="19" t="s">
        <v>237</v>
      </c>
      <c r="M241" s="20">
        <f>H241*154144.61</f>
        <v>51021865.909999996</v>
      </c>
    </row>
    <row r="242" spans="1:13" ht="16.5">
      <c r="A242" s="7">
        <v>239</v>
      </c>
      <c r="B242" s="16">
        <v>19</v>
      </c>
      <c r="C242" s="16">
        <v>2</v>
      </c>
      <c r="D242" s="15">
        <v>5</v>
      </c>
      <c r="E242" s="16">
        <v>4991</v>
      </c>
      <c r="F242" s="17" t="s">
        <v>48</v>
      </c>
      <c r="G242" s="17" t="s">
        <v>51</v>
      </c>
      <c r="H242" s="17">
        <f>140+39+29+71</f>
        <v>279</v>
      </c>
      <c r="I242" s="16">
        <f t="shared" si="18"/>
        <v>360</v>
      </c>
      <c r="J242" s="18">
        <v>45781</v>
      </c>
      <c r="K242" s="18">
        <v>45795</v>
      </c>
      <c r="L242" s="19" t="s">
        <v>236</v>
      </c>
      <c r="M242" s="20">
        <f>H242*154144.61</f>
        <v>43006346.189999998</v>
      </c>
    </row>
    <row r="243" spans="1:13" ht="33">
      <c r="A243" s="7">
        <v>240</v>
      </c>
      <c r="B243" s="16">
        <v>18</v>
      </c>
      <c r="C243" s="16">
        <v>2</v>
      </c>
      <c r="D243" s="15">
        <v>5</v>
      </c>
      <c r="E243" s="16">
        <v>4872</v>
      </c>
      <c r="F243" s="17" t="s">
        <v>215</v>
      </c>
      <c r="G243" s="17" t="s">
        <v>51</v>
      </c>
      <c r="H243" s="17">
        <f>268+39+137+39+66</f>
        <v>549</v>
      </c>
      <c r="I243" s="16">
        <f t="shared" si="18"/>
        <v>192</v>
      </c>
      <c r="J243" s="18">
        <v>45788</v>
      </c>
      <c r="K243" s="18">
        <v>45795</v>
      </c>
      <c r="L243" s="19" t="s">
        <v>238</v>
      </c>
      <c r="M243" s="20">
        <f>H243*154144.61-108000</f>
        <v>84517390.889999986</v>
      </c>
    </row>
    <row r="244" spans="1:13" ht="16.5">
      <c r="A244" s="7">
        <v>241</v>
      </c>
      <c r="B244" s="16">
        <v>21</v>
      </c>
      <c r="C244" s="16">
        <v>2</v>
      </c>
      <c r="D244" s="15">
        <v>5</v>
      </c>
      <c r="E244" s="16">
        <v>2737</v>
      </c>
      <c r="F244" s="17" t="s">
        <v>215</v>
      </c>
      <c r="G244" s="17" t="s">
        <v>51</v>
      </c>
      <c r="H244" s="17">
        <f>268+39+71</f>
        <v>378</v>
      </c>
      <c r="I244" s="16">
        <f t="shared" si="18"/>
        <v>336</v>
      </c>
      <c r="J244" s="18">
        <v>45786</v>
      </c>
      <c r="K244" s="18">
        <v>45799</v>
      </c>
      <c r="L244" s="19" t="s">
        <v>239</v>
      </c>
      <c r="M244" s="20">
        <f>H244*154144.61</f>
        <v>58266662.579999998</v>
      </c>
    </row>
    <row r="245" spans="1:13" ht="33">
      <c r="A245" s="7">
        <v>242</v>
      </c>
      <c r="B245" s="16">
        <v>20</v>
      </c>
      <c r="C245" s="16">
        <v>2</v>
      </c>
      <c r="D245" s="15">
        <v>5</v>
      </c>
      <c r="E245" s="16">
        <v>8873</v>
      </c>
      <c r="F245" s="17">
        <v>40</v>
      </c>
      <c r="G245" s="17">
        <v>12</v>
      </c>
      <c r="H245" s="17">
        <f>140+202+234+37+79</f>
        <v>692</v>
      </c>
      <c r="I245" s="16">
        <f t="shared" si="18"/>
        <v>912</v>
      </c>
      <c r="J245" s="18">
        <v>45765</v>
      </c>
      <c r="K245" s="18">
        <v>45802</v>
      </c>
      <c r="L245" s="19" t="s">
        <v>240</v>
      </c>
      <c r="M245" s="20">
        <f>H245*154144.61-100000-108000-108000</f>
        <v>106352070.11999999</v>
      </c>
    </row>
    <row r="246" spans="1:13" ht="16.5">
      <c r="A246" s="7">
        <v>243</v>
      </c>
      <c r="B246" s="16">
        <v>19</v>
      </c>
      <c r="C246" s="16">
        <v>2</v>
      </c>
      <c r="D246" s="15">
        <v>5</v>
      </c>
      <c r="E246" s="16">
        <v>9674</v>
      </c>
      <c r="F246" s="17">
        <v>34</v>
      </c>
      <c r="G246" s="17">
        <v>12</v>
      </c>
      <c r="H246" s="17">
        <f>39+45+79</f>
        <v>163</v>
      </c>
      <c r="I246" s="16">
        <f t="shared" si="18"/>
        <v>216</v>
      </c>
      <c r="J246" s="18">
        <v>45795</v>
      </c>
      <c r="K246" s="18">
        <v>45803</v>
      </c>
      <c r="L246" s="19" t="s">
        <v>252</v>
      </c>
      <c r="M246" s="20">
        <f>H246*154144.61</f>
        <v>25125571.429999996</v>
      </c>
    </row>
    <row r="247" spans="1:13" ht="33">
      <c r="A247" s="7">
        <v>244</v>
      </c>
      <c r="B247" s="16">
        <v>16</v>
      </c>
      <c r="C247" s="16">
        <v>2</v>
      </c>
      <c r="D247" s="15">
        <v>5</v>
      </c>
      <c r="E247" s="16">
        <v>3899</v>
      </c>
      <c r="F247" s="17">
        <v>5</v>
      </c>
      <c r="G247" s="17">
        <v>3</v>
      </c>
      <c r="H247" s="17">
        <f>177+45+164+234+83</f>
        <v>703</v>
      </c>
      <c r="I247" s="16">
        <f t="shared" si="18"/>
        <v>1920</v>
      </c>
      <c r="J247" s="18">
        <v>45726</v>
      </c>
      <c r="K247" s="18">
        <v>45805</v>
      </c>
      <c r="L247" s="19" t="s">
        <v>234</v>
      </c>
      <c r="M247" s="20">
        <f>H247*154144.61-100000-80000-108000</f>
        <v>108075660.82999998</v>
      </c>
    </row>
    <row r="248" spans="1:13" ht="16.5">
      <c r="A248" s="7">
        <v>245</v>
      </c>
      <c r="B248" s="16">
        <v>13</v>
      </c>
      <c r="C248" s="16">
        <v>2</v>
      </c>
      <c r="D248" s="15">
        <v>5</v>
      </c>
      <c r="E248" s="16">
        <v>9142</v>
      </c>
      <c r="F248" s="17">
        <v>45</v>
      </c>
      <c r="G248" s="17">
        <v>3</v>
      </c>
      <c r="H248" s="17">
        <f>140+39+29+72</f>
        <v>280</v>
      </c>
      <c r="I248" s="16">
        <f t="shared" si="18"/>
        <v>432</v>
      </c>
      <c r="J248" s="18">
        <v>45791</v>
      </c>
      <c r="K248" s="18">
        <v>45808</v>
      </c>
      <c r="L248" s="19" t="s">
        <v>241</v>
      </c>
      <c r="M248" s="20">
        <f>H248*154144.61</f>
        <v>43160490.799999997</v>
      </c>
    </row>
    <row r="249" spans="1:13" ht="16.5">
      <c r="A249" s="7">
        <v>246</v>
      </c>
      <c r="B249" s="16">
        <v>14</v>
      </c>
      <c r="C249" s="16">
        <v>2</v>
      </c>
      <c r="D249" s="15">
        <v>5</v>
      </c>
      <c r="E249" s="16">
        <v>4781</v>
      </c>
      <c r="F249" s="17">
        <v>45</v>
      </c>
      <c r="G249" s="17">
        <v>3</v>
      </c>
      <c r="H249" s="17">
        <f>221+39+72</f>
        <v>332</v>
      </c>
      <c r="I249" s="16">
        <f t="shared" si="18"/>
        <v>528</v>
      </c>
      <c r="J249" s="18">
        <v>45787</v>
      </c>
      <c r="K249" s="18">
        <v>45808</v>
      </c>
      <c r="L249" s="19" t="s">
        <v>126</v>
      </c>
      <c r="M249" s="20">
        <f>H249*154144.61</f>
        <v>51176010.519999996</v>
      </c>
    </row>
    <row r="250" spans="1:13" ht="16.5">
      <c r="A250" s="7">
        <v>247</v>
      </c>
      <c r="B250" s="16">
        <v>15</v>
      </c>
      <c r="C250" s="16">
        <v>2</v>
      </c>
      <c r="D250" s="15">
        <v>5</v>
      </c>
      <c r="E250" s="17">
        <v>3978</v>
      </c>
      <c r="F250" s="17">
        <v>9</v>
      </c>
      <c r="G250" s="16">
        <v>47</v>
      </c>
      <c r="H250" s="17">
        <f>392+234+79</f>
        <v>705</v>
      </c>
      <c r="I250" s="16">
        <f t="shared" si="18"/>
        <v>816</v>
      </c>
      <c r="J250" s="18">
        <v>45777</v>
      </c>
      <c r="K250" s="18">
        <v>45810</v>
      </c>
      <c r="L250" s="11" t="s">
        <v>251</v>
      </c>
      <c r="M250" s="20">
        <f>H250*154144.61</f>
        <v>108671950.05</v>
      </c>
    </row>
    <row r="251" spans="1:13">
      <c r="A251" s="7">
        <v>248</v>
      </c>
      <c r="B251" s="15">
        <v>16</v>
      </c>
      <c r="C251" s="15">
        <v>2</v>
      </c>
      <c r="D251" s="15">
        <v>6</v>
      </c>
      <c r="E251" s="15">
        <v>5011</v>
      </c>
      <c r="F251" s="7" t="s">
        <v>48</v>
      </c>
      <c r="G251" s="7" t="s">
        <v>51</v>
      </c>
      <c r="H251" s="7">
        <f>140+234+71</f>
        <v>445</v>
      </c>
      <c r="I251" s="15">
        <f t="shared" si="18"/>
        <v>360</v>
      </c>
      <c r="J251" s="10">
        <v>45805</v>
      </c>
      <c r="K251" s="10">
        <v>45819</v>
      </c>
      <c r="L251" s="11" t="s">
        <v>258</v>
      </c>
      <c r="M251" s="12">
        <f>H251*154144.61-100000</f>
        <v>68494351.449999988</v>
      </c>
    </row>
    <row r="252" spans="1:13" ht="16.5">
      <c r="A252" s="7">
        <v>249</v>
      </c>
      <c r="B252" s="16">
        <v>19</v>
      </c>
      <c r="C252" s="15">
        <v>2</v>
      </c>
      <c r="D252" s="15">
        <v>6</v>
      </c>
      <c r="E252" s="16">
        <v>4176</v>
      </c>
      <c r="F252" s="17">
        <v>38</v>
      </c>
      <c r="G252" s="17">
        <v>12</v>
      </c>
      <c r="H252" s="7">
        <f>177+112+39+29+79</f>
        <v>436</v>
      </c>
      <c r="I252" s="15">
        <f t="shared" si="18"/>
        <v>504</v>
      </c>
      <c r="J252" s="10">
        <v>45803</v>
      </c>
      <c r="K252" s="10">
        <v>45823</v>
      </c>
      <c r="L252" s="11" t="s">
        <v>256</v>
      </c>
      <c r="M252" s="12">
        <f>H252*154144.61</f>
        <v>67207049.959999993</v>
      </c>
    </row>
    <row r="253" spans="1:13" ht="16.5">
      <c r="A253" s="7">
        <v>250</v>
      </c>
      <c r="B253" s="16">
        <v>20</v>
      </c>
      <c r="C253" s="15">
        <v>2</v>
      </c>
      <c r="D253" s="15">
        <v>6</v>
      </c>
      <c r="E253" s="16">
        <v>358</v>
      </c>
      <c r="F253" s="17">
        <v>41</v>
      </c>
      <c r="G253" s="17">
        <v>3</v>
      </c>
      <c r="H253" s="7">
        <f>234+72</f>
        <v>306</v>
      </c>
      <c r="I253" s="15">
        <f t="shared" si="18"/>
        <v>216</v>
      </c>
      <c r="J253" s="10">
        <v>45819</v>
      </c>
      <c r="K253" s="10">
        <v>45827</v>
      </c>
      <c r="L253" s="19" t="s">
        <v>259</v>
      </c>
      <c r="M253" s="12">
        <f>H253*154144.61</f>
        <v>47168250.659999996</v>
      </c>
    </row>
    <row r="254" spans="1:13" ht="33">
      <c r="A254" s="7">
        <v>251</v>
      </c>
      <c r="B254" s="16">
        <v>21</v>
      </c>
      <c r="C254" s="15">
        <v>2</v>
      </c>
      <c r="D254" s="15">
        <v>6</v>
      </c>
      <c r="E254" s="16">
        <v>638</v>
      </c>
      <c r="F254" s="17">
        <v>45</v>
      </c>
      <c r="G254" s="17">
        <v>3</v>
      </c>
      <c r="H254" s="7">
        <f>177+392+234+79</f>
        <v>882</v>
      </c>
      <c r="I254" s="15">
        <f t="shared" si="18"/>
        <v>768</v>
      </c>
      <c r="J254" s="10">
        <v>45799</v>
      </c>
      <c r="K254" s="10">
        <v>45830</v>
      </c>
      <c r="L254" s="19" t="s">
        <v>262</v>
      </c>
      <c r="M254" s="12">
        <f>H254*154144.61</f>
        <v>135955546.01999998</v>
      </c>
    </row>
    <row r="255" spans="1:13" ht="16.5">
      <c r="A255" s="7">
        <v>252</v>
      </c>
      <c r="B255" s="16">
        <v>17</v>
      </c>
      <c r="C255" s="15">
        <v>2</v>
      </c>
      <c r="D255" s="15">
        <v>6</v>
      </c>
      <c r="E255" s="16">
        <v>6997</v>
      </c>
      <c r="F255" s="17">
        <v>40</v>
      </c>
      <c r="G255" s="17">
        <v>12</v>
      </c>
      <c r="H255" s="7">
        <f>177+112+39+29+79</f>
        <v>436</v>
      </c>
      <c r="I255" s="15">
        <f t="shared" si="18"/>
        <v>288</v>
      </c>
      <c r="J255" s="10">
        <v>45822</v>
      </c>
      <c r="K255" s="10">
        <v>45833</v>
      </c>
      <c r="L255" s="19" t="s">
        <v>256</v>
      </c>
      <c r="M255" s="12">
        <f>H255*154144.61</f>
        <v>67207049.959999993</v>
      </c>
    </row>
    <row r="256" spans="1:13" ht="16.5">
      <c r="A256" s="7">
        <v>253</v>
      </c>
      <c r="B256" s="16">
        <v>18</v>
      </c>
      <c r="C256" s="15">
        <v>2</v>
      </c>
      <c r="D256" s="15">
        <v>6</v>
      </c>
      <c r="E256" s="16">
        <v>3120</v>
      </c>
      <c r="F256" s="7" t="s">
        <v>48</v>
      </c>
      <c r="G256" s="7" t="s">
        <v>51</v>
      </c>
      <c r="H256" s="7">
        <f>392+29+71</f>
        <v>492</v>
      </c>
      <c r="I256" s="15">
        <f t="shared" si="18"/>
        <v>288</v>
      </c>
      <c r="J256" s="10">
        <v>45822</v>
      </c>
      <c r="K256" s="10">
        <v>45833</v>
      </c>
      <c r="L256" s="19" t="s">
        <v>275</v>
      </c>
      <c r="M256" s="12">
        <f>H256*154144.61</f>
        <v>75839148.11999999</v>
      </c>
    </row>
    <row r="257" spans="1:13" ht="16.5">
      <c r="A257" s="7">
        <v>254</v>
      </c>
      <c r="B257" s="16">
        <v>16</v>
      </c>
      <c r="C257" s="15">
        <v>2</v>
      </c>
      <c r="D257" s="15">
        <v>6</v>
      </c>
      <c r="E257" s="16">
        <v>7896</v>
      </c>
      <c r="F257" s="17">
        <v>31</v>
      </c>
      <c r="G257" s="17">
        <v>12</v>
      </c>
      <c r="H257" s="7">
        <f>234+39+29+79</f>
        <v>381</v>
      </c>
      <c r="I257" s="15">
        <f t="shared" si="18"/>
        <v>384</v>
      </c>
      <c r="J257" s="10">
        <v>45820</v>
      </c>
      <c r="K257" s="10">
        <v>45835</v>
      </c>
      <c r="L257" s="19" t="s">
        <v>168</v>
      </c>
      <c r="M257" s="12">
        <f>H257*154144.61-100000</f>
        <v>58629096.409999996</v>
      </c>
    </row>
    <row r="258" spans="1:13" ht="16.5">
      <c r="A258" s="7">
        <v>255</v>
      </c>
      <c r="B258" s="16">
        <v>13</v>
      </c>
      <c r="C258" s="15">
        <v>2</v>
      </c>
      <c r="D258" s="15">
        <v>6</v>
      </c>
      <c r="E258" s="16">
        <v>4928</v>
      </c>
      <c r="F258" s="17">
        <v>9</v>
      </c>
      <c r="G258" s="17">
        <v>47</v>
      </c>
      <c r="H258" s="7">
        <f>112+39+29+79</f>
        <v>259</v>
      </c>
      <c r="I258" s="15">
        <f t="shared" si="18"/>
        <v>360</v>
      </c>
      <c r="J258" s="10">
        <v>45821</v>
      </c>
      <c r="K258" s="10">
        <v>45835</v>
      </c>
      <c r="L258" s="19" t="s">
        <v>80</v>
      </c>
      <c r="M258" s="12">
        <f>H258*154144.61-108000</f>
        <v>39815453.989999995</v>
      </c>
    </row>
    <row r="259" spans="1:13" ht="16.5">
      <c r="A259" s="7">
        <v>256</v>
      </c>
      <c r="B259" s="16">
        <v>18</v>
      </c>
      <c r="C259" s="15">
        <v>2</v>
      </c>
      <c r="D259" s="15">
        <v>6</v>
      </c>
      <c r="E259" s="16">
        <v>291</v>
      </c>
      <c r="F259" s="17">
        <v>3</v>
      </c>
      <c r="G259" s="17">
        <v>45</v>
      </c>
      <c r="H259" s="7">
        <f>39+74+45+79</f>
        <v>237</v>
      </c>
      <c r="I259" s="15">
        <v>336</v>
      </c>
      <c r="J259" s="10">
        <v>45798</v>
      </c>
      <c r="K259" s="10">
        <v>45807</v>
      </c>
      <c r="L259" s="19" t="s">
        <v>264</v>
      </c>
      <c r="M259" s="12">
        <f>H259*154144.61</f>
        <v>36532272.57</v>
      </c>
    </row>
    <row r="260" spans="1:13" ht="16.5">
      <c r="A260" s="7">
        <v>257</v>
      </c>
      <c r="B260" s="16">
        <v>15</v>
      </c>
      <c r="C260" s="15">
        <v>2</v>
      </c>
      <c r="D260" s="15">
        <v>6</v>
      </c>
      <c r="E260" s="16">
        <v>3852</v>
      </c>
      <c r="F260" s="17">
        <v>9</v>
      </c>
      <c r="G260" s="17">
        <v>52</v>
      </c>
      <c r="H260" s="7">
        <f>45+392+39+29+79</f>
        <v>584</v>
      </c>
      <c r="I260" s="15">
        <f t="shared" ref="I260:I323" si="19">(K260-J260+1)*24</f>
        <v>432</v>
      </c>
      <c r="J260" s="10">
        <v>45821</v>
      </c>
      <c r="K260" s="10">
        <v>45838</v>
      </c>
      <c r="L260" s="19" t="s">
        <v>266</v>
      </c>
      <c r="M260" s="12">
        <f>H260*154144.61-500000</f>
        <v>89520452.239999995</v>
      </c>
    </row>
    <row r="261" spans="1:13" ht="16.5">
      <c r="A261" s="7">
        <v>258</v>
      </c>
      <c r="B261" s="16">
        <v>20</v>
      </c>
      <c r="C261" s="15">
        <v>2</v>
      </c>
      <c r="D261" s="15">
        <v>6</v>
      </c>
      <c r="E261" s="16">
        <v>2447</v>
      </c>
      <c r="F261" s="17">
        <v>9</v>
      </c>
      <c r="G261" s="17">
        <v>49</v>
      </c>
      <c r="H261" s="7">
        <f>177+45+29+72</f>
        <v>323</v>
      </c>
      <c r="I261" s="15">
        <f t="shared" si="19"/>
        <v>264</v>
      </c>
      <c r="J261" s="10">
        <v>45828</v>
      </c>
      <c r="K261" s="10">
        <v>45838</v>
      </c>
      <c r="L261" s="11" t="s">
        <v>276</v>
      </c>
      <c r="M261" s="12">
        <f t="shared" ref="M261:M275" si="20">H261*154144.61</f>
        <v>49788709.029999994</v>
      </c>
    </row>
    <row r="262" spans="1:13" ht="16.5">
      <c r="A262" s="7">
        <v>259</v>
      </c>
      <c r="B262" s="16">
        <v>17</v>
      </c>
      <c r="C262" s="16">
        <v>2</v>
      </c>
      <c r="D262" s="15">
        <v>7</v>
      </c>
      <c r="E262" s="16">
        <v>2837</v>
      </c>
      <c r="F262" s="17">
        <v>49</v>
      </c>
      <c r="G262" s="17">
        <v>9</v>
      </c>
      <c r="H262" s="7">
        <f>112+39+29+72</f>
        <v>252</v>
      </c>
      <c r="I262" s="15">
        <f t="shared" si="19"/>
        <v>240</v>
      </c>
      <c r="J262" s="10">
        <v>45833</v>
      </c>
      <c r="K262" s="10">
        <v>45842</v>
      </c>
      <c r="L262" s="11" t="s">
        <v>80</v>
      </c>
      <c r="M262" s="12">
        <f t="shared" si="20"/>
        <v>38844441.719999999</v>
      </c>
    </row>
    <row r="263" spans="1:13" ht="16.5">
      <c r="A263" s="7">
        <v>260</v>
      </c>
      <c r="B263" s="16">
        <v>19</v>
      </c>
      <c r="C263" s="16">
        <v>2</v>
      </c>
      <c r="D263" s="15">
        <v>7</v>
      </c>
      <c r="E263" s="16">
        <v>4606</v>
      </c>
      <c r="F263" s="17">
        <v>48</v>
      </c>
      <c r="G263" s="17">
        <v>9</v>
      </c>
      <c r="H263" s="7">
        <f>392+29+79</f>
        <v>500</v>
      </c>
      <c r="I263" s="15">
        <f t="shared" si="19"/>
        <v>552</v>
      </c>
      <c r="J263" s="10">
        <v>45824</v>
      </c>
      <c r="K263" s="10">
        <v>45846</v>
      </c>
      <c r="L263" s="19" t="s">
        <v>275</v>
      </c>
      <c r="M263" s="12">
        <f t="shared" si="20"/>
        <v>77072305</v>
      </c>
    </row>
    <row r="264" spans="1:13" ht="16.5">
      <c r="A264" s="7">
        <v>261</v>
      </c>
      <c r="B264" s="16">
        <v>13</v>
      </c>
      <c r="C264" s="16">
        <v>2</v>
      </c>
      <c r="D264" s="15">
        <v>7</v>
      </c>
      <c r="E264" s="16">
        <v>6842</v>
      </c>
      <c r="F264" s="8" t="s">
        <v>296</v>
      </c>
      <c r="G264" s="8" t="s">
        <v>297</v>
      </c>
      <c r="H264" s="7">
        <f>140+39+66</f>
        <v>245</v>
      </c>
      <c r="I264" s="15">
        <f t="shared" si="19"/>
        <v>264</v>
      </c>
      <c r="J264" s="10">
        <v>45836</v>
      </c>
      <c r="K264" s="10">
        <v>45846</v>
      </c>
      <c r="L264" s="19" t="s">
        <v>40</v>
      </c>
      <c r="M264" s="12">
        <f t="shared" si="20"/>
        <v>37765429.449999996</v>
      </c>
    </row>
    <row r="265" spans="1:13" ht="16.5">
      <c r="A265" s="7">
        <v>262</v>
      </c>
      <c r="B265" s="16">
        <v>17</v>
      </c>
      <c r="C265" s="16">
        <v>2</v>
      </c>
      <c r="D265" s="15">
        <v>7</v>
      </c>
      <c r="E265" s="16">
        <v>9574</v>
      </c>
      <c r="F265" s="17">
        <v>6</v>
      </c>
      <c r="G265" s="17">
        <v>9</v>
      </c>
      <c r="H265" s="7">
        <f>177+29+72</f>
        <v>278</v>
      </c>
      <c r="I265" s="15">
        <f t="shared" si="19"/>
        <v>288</v>
      </c>
      <c r="J265" s="10">
        <v>45842</v>
      </c>
      <c r="K265" s="10">
        <v>45853</v>
      </c>
      <c r="L265" s="11" t="s">
        <v>200</v>
      </c>
      <c r="M265" s="12">
        <f t="shared" si="20"/>
        <v>42852201.579999998</v>
      </c>
    </row>
    <row r="266" spans="1:13" ht="16.5">
      <c r="A266" s="7">
        <v>263</v>
      </c>
      <c r="B266" s="16">
        <v>13</v>
      </c>
      <c r="C266" s="16">
        <v>2</v>
      </c>
      <c r="D266" s="15">
        <v>7</v>
      </c>
      <c r="E266" s="16">
        <v>2292</v>
      </c>
      <c r="F266" s="17">
        <v>12</v>
      </c>
      <c r="G266" s="17">
        <v>9</v>
      </c>
      <c r="H266" s="7">
        <f>112+39+29+37+79</f>
        <v>296</v>
      </c>
      <c r="I266" s="15">
        <f t="shared" si="19"/>
        <v>192</v>
      </c>
      <c r="J266" s="10">
        <v>45847</v>
      </c>
      <c r="K266" s="10">
        <v>45854</v>
      </c>
      <c r="L266" s="11" t="s">
        <v>269</v>
      </c>
      <c r="M266" s="12">
        <f t="shared" si="20"/>
        <v>45626804.559999995</v>
      </c>
    </row>
    <row r="267" spans="1:13" ht="16.5">
      <c r="A267" s="7">
        <v>264</v>
      </c>
      <c r="B267" s="16">
        <v>19</v>
      </c>
      <c r="C267" s="16">
        <v>2</v>
      </c>
      <c r="D267" s="15">
        <v>7</v>
      </c>
      <c r="E267" s="16">
        <v>7881</v>
      </c>
      <c r="F267" s="17">
        <v>40</v>
      </c>
      <c r="G267" s="17">
        <v>12</v>
      </c>
      <c r="H267" s="7">
        <f>112+39+29+72</f>
        <v>252</v>
      </c>
      <c r="I267" s="15">
        <f t="shared" si="19"/>
        <v>312</v>
      </c>
      <c r="J267" s="10">
        <v>45847</v>
      </c>
      <c r="K267" s="10">
        <v>45859</v>
      </c>
      <c r="L267" s="11" t="s">
        <v>80</v>
      </c>
      <c r="M267" s="12">
        <f t="shared" si="20"/>
        <v>38844441.719999999</v>
      </c>
    </row>
    <row r="268" spans="1:13" ht="16.5">
      <c r="A268" s="7">
        <v>265</v>
      </c>
      <c r="B268" s="16">
        <v>20</v>
      </c>
      <c r="C268" s="16">
        <v>2</v>
      </c>
      <c r="D268" s="15">
        <v>7</v>
      </c>
      <c r="E268" s="16">
        <v>5126</v>
      </c>
      <c r="F268" s="17">
        <v>34</v>
      </c>
      <c r="G268" s="17">
        <v>12</v>
      </c>
      <c r="H268" s="7">
        <f>112+39+29+37+79</f>
        <v>296</v>
      </c>
      <c r="I268" s="15">
        <f t="shared" si="19"/>
        <v>624</v>
      </c>
      <c r="J268" s="10">
        <v>45838</v>
      </c>
      <c r="K268" s="10">
        <v>45863</v>
      </c>
      <c r="L268" s="11" t="s">
        <v>269</v>
      </c>
      <c r="M268" s="12">
        <f t="shared" si="20"/>
        <v>45626804.559999995</v>
      </c>
    </row>
    <row r="269" spans="1:13" ht="16.5">
      <c r="A269" s="7">
        <v>266</v>
      </c>
      <c r="B269" s="16">
        <v>15</v>
      </c>
      <c r="C269" s="16">
        <v>2</v>
      </c>
      <c r="D269" s="15">
        <v>7</v>
      </c>
      <c r="E269" s="16">
        <v>4199</v>
      </c>
      <c r="F269" s="17">
        <v>47</v>
      </c>
      <c r="G269" s="17">
        <v>9</v>
      </c>
      <c r="H269" s="7">
        <f>137+79</f>
        <v>216</v>
      </c>
      <c r="I269" s="15">
        <f t="shared" si="19"/>
        <v>72</v>
      </c>
      <c r="J269" s="10">
        <v>45862</v>
      </c>
      <c r="K269" s="10">
        <v>45864</v>
      </c>
      <c r="L269" s="11" t="s">
        <v>302</v>
      </c>
      <c r="M269" s="12">
        <f t="shared" si="20"/>
        <v>33295235.759999998</v>
      </c>
    </row>
    <row r="270" spans="1:13" ht="16.5">
      <c r="A270" s="7">
        <v>267</v>
      </c>
      <c r="B270" s="16">
        <v>13</v>
      </c>
      <c r="C270" s="16">
        <v>2</v>
      </c>
      <c r="D270" s="15">
        <v>7</v>
      </c>
      <c r="E270" s="16">
        <v>6501</v>
      </c>
      <c r="F270" s="17">
        <v>41</v>
      </c>
      <c r="G270" s="17">
        <v>3</v>
      </c>
      <c r="H270" s="7">
        <f>112+39+29+79</f>
        <v>259</v>
      </c>
      <c r="I270" s="15">
        <f t="shared" si="19"/>
        <v>264</v>
      </c>
      <c r="J270" s="10">
        <v>45855</v>
      </c>
      <c r="K270" s="10">
        <v>45865</v>
      </c>
      <c r="L270" s="11" t="s">
        <v>80</v>
      </c>
      <c r="M270" s="12">
        <f t="shared" si="20"/>
        <v>39923453.989999995</v>
      </c>
    </row>
    <row r="271" spans="1:13" ht="16.5">
      <c r="A271" s="7">
        <v>268</v>
      </c>
      <c r="B271" s="16">
        <v>17</v>
      </c>
      <c r="C271" s="16">
        <v>2</v>
      </c>
      <c r="D271" s="15">
        <v>7</v>
      </c>
      <c r="E271" s="16">
        <v>361</v>
      </c>
      <c r="F271" s="17">
        <v>41</v>
      </c>
      <c r="G271" s="17">
        <v>3</v>
      </c>
      <c r="H271" s="7">
        <f>221+79</f>
        <v>300</v>
      </c>
      <c r="I271" s="15">
        <f t="shared" si="19"/>
        <v>1008</v>
      </c>
      <c r="J271" s="10">
        <v>45824</v>
      </c>
      <c r="K271" s="10">
        <v>45865</v>
      </c>
      <c r="L271" s="11" t="s">
        <v>78</v>
      </c>
      <c r="M271" s="12">
        <f t="shared" si="20"/>
        <v>46243382.999999993</v>
      </c>
    </row>
    <row r="272" spans="1:13" ht="16.5">
      <c r="A272" s="7">
        <v>269</v>
      </c>
      <c r="B272" s="16">
        <v>14</v>
      </c>
      <c r="C272" s="16">
        <v>2</v>
      </c>
      <c r="D272" s="15">
        <v>7</v>
      </c>
      <c r="E272" s="16">
        <v>9299</v>
      </c>
      <c r="F272" s="17">
        <v>31</v>
      </c>
      <c r="G272" s="17">
        <v>12</v>
      </c>
      <c r="H272" s="7">
        <f>392+29+79</f>
        <v>500</v>
      </c>
      <c r="I272" s="15">
        <f t="shared" si="19"/>
        <v>528</v>
      </c>
      <c r="J272" s="10">
        <v>45845</v>
      </c>
      <c r="K272" s="10">
        <v>45866</v>
      </c>
      <c r="L272" s="19" t="s">
        <v>275</v>
      </c>
      <c r="M272" s="12">
        <f t="shared" si="20"/>
        <v>77072305</v>
      </c>
    </row>
    <row r="273" spans="1:13" ht="33">
      <c r="A273" s="7">
        <v>270</v>
      </c>
      <c r="B273" s="16">
        <v>16</v>
      </c>
      <c r="C273" s="16">
        <v>2</v>
      </c>
      <c r="D273" s="15">
        <v>7</v>
      </c>
      <c r="E273" s="16">
        <v>8367</v>
      </c>
      <c r="F273" s="17">
        <v>34</v>
      </c>
      <c r="G273" s="17">
        <v>12</v>
      </c>
      <c r="H273" s="7">
        <f>268+39+45+39+29+137+37+79</f>
        <v>673</v>
      </c>
      <c r="I273" s="15">
        <f t="shared" si="19"/>
        <v>816</v>
      </c>
      <c r="J273" s="10">
        <v>45835</v>
      </c>
      <c r="K273" s="10">
        <v>45868</v>
      </c>
      <c r="L273" s="19" t="s">
        <v>320</v>
      </c>
      <c r="M273" s="12">
        <f t="shared" si="20"/>
        <v>103739322.52999999</v>
      </c>
    </row>
    <row r="274" spans="1:13" ht="16.5">
      <c r="A274" s="7">
        <v>271</v>
      </c>
      <c r="B274" s="16">
        <v>18</v>
      </c>
      <c r="C274" s="16">
        <v>2</v>
      </c>
      <c r="D274" s="15">
        <v>7</v>
      </c>
      <c r="E274" s="16">
        <v>3765</v>
      </c>
      <c r="F274" s="17">
        <v>31</v>
      </c>
      <c r="G274" s="17">
        <v>12</v>
      </c>
      <c r="H274" s="7">
        <f>45+39+29+79</f>
        <v>192</v>
      </c>
      <c r="I274" s="15">
        <f t="shared" si="19"/>
        <v>816</v>
      </c>
      <c r="J274" s="10">
        <v>45836</v>
      </c>
      <c r="K274" s="10">
        <v>45869</v>
      </c>
      <c r="L274" s="11" t="s">
        <v>319</v>
      </c>
      <c r="M274" s="12">
        <f t="shared" si="20"/>
        <v>29595765.119999997</v>
      </c>
    </row>
    <row r="275" spans="1:13" ht="16.5">
      <c r="A275" s="7">
        <v>272</v>
      </c>
      <c r="B275" s="16">
        <v>21</v>
      </c>
      <c r="C275" s="16">
        <v>2</v>
      </c>
      <c r="D275" s="15">
        <v>8</v>
      </c>
      <c r="E275" s="16">
        <v>8486</v>
      </c>
      <c r="F275" s="17">
        <v>31</v>
      </c>
      <c r="G275" s="17">
        <v>12</v>
      </c>
      <c r="H275" s="7">
        <f>268+39+45+79</f>
        <v>431</v>
      </c>
      <c r="I275" s="15">
        <f t="shared" si="19"/>
        <v>1152</v>
      </c>
      <c r="J275" s="10">
        <v>45831</v>
      </c>
      <c r="K275" s="10">
        <v>45878</v>
      </c>
      <c r="L275" s="11" t="s">
        <v>328</v>
      </c>
      <c r="M275" s="12">
        <f t="shared" si="20"/>
        <v>66436326.909999996</v>
      </c>
    </row>
    <row r="276" spans="1:13" ht="33">
      <c r="A276" s="7">
        <v>273</v>
      </c>
      <c r="B276" s="16">
        <v>13</v>
      </c>
      <c r="C276" s="16">
        <v>2</v>
      </c>
      <c r="D276" s="15">
        <v>8</v>
      </c>
      <c r="E276" s="16">
        <v>4338</v>
      </c>
      <c r="F276" s="17">
        <v>52</v>
      </c>
      <c r="G276" s="17">
        <v>9</v>
      </c>
      <c r="H276" s="7">
        <f>177+164+39+29+79</f>
        <v>488</v>
      </c>
      <c r="I276" s="15">
        <f t="shared" si="19"/>
        <v>432</v>
      </c>
      <c r="J276" s="10">
        <v>45866</v>
      </c>
      <c r="K276" s="10">
        <v>45883</v>
      </c>
      <c r="L276" s="19" t="s">
        <v>327</v>
      </c>
      <c r="M276" s="12">
        <f>H276*154144.61-100000</f>
        <v>75122569.679999992</v>
      </c>
    </row>
    <row r="277" spans="1:13" ht="16.5">
      <c r="A277" s="7">
        <v>274</v>
      </c>
      <c r="B277" s="16">
        <v>20</v>
      </c>
      <c r="C277" s="16">
        <v>2</v>
      </c>
      <c r="D277" s="15">
        <v>8</v>
      </c>
      <c r="E277" s="16">
        <v>9119</v>
      </c>
      <c r="F277" s="8">
        <v>47</v>
      </c>
      <c r="G277" s="8">
        <v>9</v>
      </c>
      <c r="H277" s="7">
        <f>112+45+39+29+79</f>
        <v>304</v>
      </c>
      <c r="I277" s="15">
        <f t="shared" si="19"/>
        <v>528</v>
      </c>
      <c r="J277" s="10">
        <v>45864</v>
      </c>
      <c r="K277" s="10">
        <v>45885</v>
      </c>
      <c r="L277" s="11" t="s">
        <v>326</v>
      </c>
      <c r="M277" s="12">
        <f>H277*154144.61-100000</f>
        <v>46759961.439999998</v>
      </c>
    </row>
    <row r="278" spans="1:13" ht="16.5">
      <c r="A278" s="7">
        <v>275</v>
      </c>
      <c r="B278" s="16">
        <v>15</v>
      </c>
      <c r="C278" s="16">
        <v>2</v>
      </c>
      <c r="D278" s="15">
        <v>8</v>
      </c>
      <c r="E278" s="16">
        <v>2694</v>
      </c>
      <c r="F278" s="17">
        <v>43</v>
      </c>
      <c r="G278" s="17">
        <v>3</v>
      </c>
      <c r="H278" s="7">
        <f>221+112+39+29+79</f>
        <v>480</v>
      </c>
      <c r="I278" s="15">
        <f t="shared" si="19"/>
        <v>504</v>
      </c>
      <c r="J278" s="10">
        <v>45865</v>
      </c>
      <c r="K278" s="10">
        <v>45885</v>
      </c>
      <c r="L278" s="11" t="s">
        <v>344</v>
      </c>
      <c r="M278" s="12">
        <f>H278*154144.61</f>
        <v>73989412.799999997</v>
      </c>
    </row>
    <row r="279" spans="1:13" ht="16.5">
      <c r="A279" s="7">
        <v>276</v>
      </c>
      <c r="B279" s="16">
        <v>14</v>
      </c>
      <c r="C279" s="16">
        <v>2</v>
      </c>
      <c r="D279" s="15">
        <v>8</v>
      </c>
      <c r="E279" s="16">
        <v>6490</v>
      </c>
      <c r="F279" s="17">
        <v>45</v>
      </c>
      <c r="G279" s="17">
        <v>3</v>
      </c>
      <c r="H279" s="7">
        <f>177+140+39+72</f>
        <v>428</v>
      </c>
      <c r="I279" s="15">
        <f t="shared" si="19"/>
        <v>456</v>
      </c>
      <c r="J279" s="10">
        <v>45867</v>
      </c>
      <c r="K279" s="10">
        <v>45885</v>
      </c>
      <c r="L279" s="11" t="s">
        <v>345</v>
      </c>
      <c r="M279" s="12">
        <f>H279*154144.61</f>
        <v>65973893.079999991</v>
      </c>
    </row>
    <row r="280" spans="1:13" ht="16.5">
      <c r="A280" s="7">
        <v>277</v>
      </c>
      <c r="B280" s="16">
        <v>19</v>
      </c>
      <c r="C280" s="16">
        <v>2</v>
      </c>
      <c r="D280" s="15">
        <v>8</v>
      </c>
      <c r="E280" s="16">
        <v>6897</v>
      </c>
      <c r="F280" s="17">
        <v>6</v>
      </c>
      <c r="G280" s="17">
        <v>9</v>
      </c>
      <c r="H280" s="7">
        <f>268+112+39+29+79</f>
        <v>527</v>
      </c>
      <c r="I280" s="15">
        <f t="shared" si="19"/>
        <v>696</v>
      </c>
      <c r="J280" s="10">
        <v>45859</v>
      </c>
      <c r="K280" s="10">
        <v>45887</v>
      </c>
      <c r="L280" s="11" t="s">
        <v>329</v>
      </c>
      <c r="M280" s="12">
        <f>H280*154144.61</f>
        <v>81234209.469999999</v>
      </c>
    </row>
    <row r="281" spans="1:13" ht="16.5">
      <c r="A281" s="7">
        <v>278</v>
      </c>
      <c r="B281" s="16">
        <v>17</v>
      </c>
      <c r="C281" s="16">
        <v>2</v>
      </c>
      <c r="D281" s="15">
        <v>8</v>
      </c>
      <c r="E281" s="16">
        <v>8921</v>
      </c>
      <c r="F281" s="17">
        <v>9</v>
      </c>
      <c r="G281" s="17">
        <v>12</v>
      </c>
      <c r="H281" s="7">
        <f>39+29+79</f>
        <v>147</v>
      </c>
      <c r="I281" s="15">
        <f t="shared" si="19"/>
        <v>648</v>
      </c>
      <c r="J281" s="10">
        <v>45866</v>
      </c>
      <c r="K281" s="10">
        <v>45892</v>
      </c>
      <c r="L281" s="11" t="s">
        <v>346</v>
      </c>
      <c r="M281" s="12">
        <f>H281*154144.61</f>
        <v>22659257.669999998</v>
      </c>
    </row>
    <row r="282" spans="1:13" ht="16.5">
      <c r="A282" s="7">
        <v>279</v>
      </c>
      <c r="B282" s="16">
        <v>16</v>
      </c>
      <c r="C282" s="16">
        <v>2</v>
      </c>
      <c r="D282" s="15">
        <v>8</v>
      </c>
      <c r="E282" s="16">
        <v>3836</v>
      </c>
      <c r="F282" s="17">
        <v>31</v>
      </c>
      <c r="G282" s="17">
        <v>12</v>
      </c>
      <c r="H282" s="7">
        <f>112+234+79</f>
        <v>425</v>
      </c>
      <c r="I282" s="15">
        <f t="shared" si="19"/>
        <v>648</v>
      </c>
      <c r="J282" s="10">
        <v>45868</v>
      </c>
      <c r="K282" s="10">
        <v>45894</v>
      </c>
      <c r="L282" s="11" t="s">
        <v>332</v>
      </c>
      <c r="M282" s="12">
        <f>H282*154144.61-100000</f>
        <v>65411459.249999993</v>
      </c>
    </row>
    <row r="283" spans="1:13" ht="16.5">
      <c r="A283" s="7">
        <v>280</v>
      </c>
      <c r="B283" s="16">
        <v>18</v>
      </c>
      <c r="C283" s="16">
        <v>2</v>
      </c>
      <c r="D283" s="15">
        <v>8</v>
      </c>
      <c r="E283" s="16">
        <v>3388</v>
      </c>
      <c r="F283" s="17">
        <v>41</v>
      </c>
      <c r="G283" s="17">
        <v>3</v>
      </c>
      <c r="H283" s="7">
        <f>177+392+29+79</f>
        <v>677</v>
      </c>
      <c r="I283" s="15">
        <f t="shared" si="19"/>
        <v>600</v>
      </c>
      <c r="J283" s="10">
        <v>45870</v>
      </c>
      <c r="K283" s="10">
        <v>45894</v>
      </c>
      <c r="L283" s="11" t="s">
        <v>347</v>
      </c>
      <c r="M283" s="12">
        <f t="shared" ref="M283:M289" si="21">H283*154144.61</f>
        <v>104355900.96999998</v>
      </c>
    </row>
    <row r="284" spans="1:13" ht="16.5">
      <c r="A284" s="7">
        <v>281</v>
      </c>
      <c r="B284" s="16">
        <v>21</v>
      </c>
      <c r="C284" s="16">
        <v>2</v>
      </c>
      <c r="D284" s="15">
        <v>8</v>
      </c>
      <c r="E284" s="16">
        <v>3945</v>
      </c>
      <c r="F284" s="17">
        <v>34</v>
      </c>
      <c r="G284" s="17">
        <v>12</v>
      </c>
      <c r="H284" s="7">
        <f>112+39+29+79</f>
        <v>259</v>
      </c>
      <c r="I284" s="15">
        <f t="shared" si="19"/>
        <v>384</v>
      </c>
      <c r="J284" s="10">
        <v>45879</v>
      </c>
      <c r="K284" s="10">
        <v>45894</v>
      </c>
      <c r="L284" s="11" t="s">
        <v>188</v>
      </c>
      <c r="M284" s="12">
        <f t="shared" si="21"/>
        <v>39923453.989999995</v>
      </c>
    </row>
    <row r="285" spans="1:13" ht="16.5">
      <c r="A285" s="7">
        <v>282</v>
      </c>
      <c r="B285" s="16">
        <v>15</v>
      </c>
      <c r="C285" s="16">
        <v>2</v>
      </c>
      <c r="D285" s="15">
        <v>8</v>
      </c>
      <c r="E285" s="16">
        <v>5038</v>
      </c>
      <c r="F285" s="17">
        <v>41</v>
      </c>
      <c r="G285" s="17">
        <v>3</v>
      </c>
      <c r="H285" s="7">
        <f>221+234+79</f>
        <v>534</v>
      </c>
      <c r="I285" s="15">
        <f t="shared" si="19"/>
        <v>360</v>
      </c>
      <c r="J285" s="10">
        <v>45886</v>
      </c>
      <c r="K285" s="10">
        <v>45900</v>
      </c>
      <c r="L285" s="11" t="s">
        <v>343</v>
      </c>
      <c r="M285" s="12">
        <f t="shared" si="21"/>
        <v>82313221.739999995</v>
      </c>
    </row>
    <row r="286" spans="1:13" ht="16.5">
      <c r="A286" s="7">
        <v>283</v>
      </c>
      <c r="B286" s="16">
        <v>16</v>
      </c>
      <c r="C286" s="16">
        <v>2</v>
      </c>
      <c r="D286" s="15">
        <v>8</v>
      </c>
      <c r="E286" s="16">
        <v>3913</v>
      </c>
      <c r="F286" s="17">
        <v>9</v>
      </c>
      <c r="G286" s="17">
        <v>12</v>
      </c>
      <c r="H286" s="7">
        <f>221+79</f>
        <v>300</v>
      </c>
      <c r="I286" s="15">
        <f t="shared" si="19"/>
        <v>144</v>
      </c>
      <c r="J286" s="10">
        <v>45894</v>
      </c>
      <c r="K286" s="10">
        <v>45899</v>
      </c>
      <c r="L286" s="11" t="s">
        <v>78</v>
      </c>
      <c r="M286" s="12">
        <f t="shared" si="21"/>
        <v>46243382.999999993</v>
      </c>
    </row>
    <row r="287" spans="1:13" ht="16.5">
      <c r="A287" s="7">
        <v>284</v>
      </c>
      <c r="B287" s="16">
        <v>20</v>
      </c>
      <c r="C287" s="16">
        <v>2</v>
      </c>
      <c r="D287" s="15">
        <v>8</v>
      </c>
      <c r="E287" s="16">
        <v>7983</v>
      </c>
      <c r="F287" s="17">
        <v>47</v>
      </c>
      <c r="G287" s="17">
        <v>9</v>
      </c>
      <c r="H287" s="7">
        <f>39+29+79</f>
        <v>147</v>
      </c>
      <c r="I287" s="15">
        <f t="shared" si="19"/>
        <v>360</v>
      </c>
      <c r="J287" s="10">
        <v>45886</v>
      </c>
      <c r="K287" s="10">
        <v>45900</v>
      </c>
      <c r="L287" s="11" t="s">
        <v>346</v>
      </c>
      <c r="M287" s="12">
        <f t="shared" si="21"/>
        <v>22659257.669999998</v>
      </c>
    </row>
    <row r="288" spans="1:13" ht="16.5">
      <c r="A288" s="7">
        <v>285</v>
      </c>
      <c r="B288" s="16">
        <v>21</v>
      </c>
      <c r="C288" s="16">
        <v>2</v>
      </c>
      <c r="D288" s="15">
        <v>9</v>
      </c>
      <c r="E288" s="16">
        <v>7134</v>
      </c>
      <c r="F288" s="17">
        <v>49</v>
      </c>
      <c r="G288" s="17">
        <v>9</v>
      </c>
      <c r="H288" s="7">
        <f>(392)*0.9+29+79</f>
        <v>460.8</v>
      </c>
      <c r="I288" s="15">
        <f t="shared" si="19"/>
        <v>360</v>
      </c>
      <c r="J288" s="10">
        <v>45895</v>
      </c>
      <c r="K288" s="10">
        <v>45909</v>
      </c>
      <c r="L288" s="11" t="s">
        <v>198</v>
      </c>
      <c r="M288" s="12">
        <f t="shared" si="21"/>
        <v>71029836.288000003</v>
      </c>
    </row>
    <row r="289" spans="1:13" ht="15.75" customHeight="1">
      <c r="A289" s="7">
        <v>286</v>
      </c>
      <c r="B289" s="16">
        <v>19</v>
      </c>
      <c r="C289" s="16">
        <v>2</v>
      </c>
      <c r="D289" s="15">
        <v>9</v>
      </c>
      <c r="E289" s="16">
        <v>3724</v>
      </c>
      <c r="F289" s="17">
        <v>5</v>
      </c>
      <c r="G289" s="17">
        <v>3</v>
      </c>
      <c r="H289" s="7">
        <f>39+234+39+29+79</f>
        <v>420</v>
      </c>
      <c r="I289" s="15">
        <f t="shared" si="19"/>
        <v>528</v>
      </c>
      <c r="J289" s="10">
        <v>45888</v>
      </c>
      <c r="K289" s="10">
        <v>45909</v>
      </c>
      <c r="L289" s="11" t="s">
        <v>368</v>
      </c>
      <c r="M289" s="12">
        <f t="shared" si="21"/>
        <v>64740736.199999996</v>
      </c>
    </row>
    <row r="290" spans="1:13" ht="16.5">
      <c r="A290" s="7">
        <v>287</v>
      </c>
      <c r="B290" s="16">
        <v>14</v>
      </c>
      <c r="C290" s="16">
        <v>2</v>
      </c>
      <c r="D290" s="15">
        <v>9</v>
      </c>
      <c r="E290" s="16">
        <v>6757</v>
      </c>
      <c r="F290" s="8">
        <v>49</v>
      </c>
      <c r="G290" s="8">
        <v>9</v>
      </c>
      <c r="H290" s="7">
        <f>45+392+29+79</f>
        <v>545</v>
      </c>
      <c r="I290" s="15">
        <f t="shared" si="19"/>
        <v>600</v>
      </c>
      <c r="J290" s="10">
        <v>45886</v>
      </c>
      <c r="K290" s="10">
        <v>45910</v>
      </c>
      <c r="L290" s="11" t="s">
        <v>391</v>
      </c>
      <c r="M290" s="12">
        <f>H290*154144.61-80000</f>
        <v>83928812.449999988</v>
      </c>
    </row>
    <row r="291" spans="1:13" ht="16.5">
      <c r="A291" s="7">
        <v>288</v>
      </c>
      <c r="B291" s="16">
        <v>16</v>
      </c>
      <c r="C291" s="16">
        <v>2</v>
      </c>
      <c r="D291" s="15">
        <v>9</v>
      </c>
      <c r="E291" s="16">
        <v>5976</v>
      </c>
      <c r="F291" s="17">
        <v>47</v>
      </c>
      <c r="G291" s="17">
        <v>9</v>
      </c>
      <c r="H291" s="7">
        <f>221+112+39+29+72</f>
        <v>473</v>
      </c>
      <c r="I291" s="15">
        <f t="shared" si="19"/>
        <v>312</v>
      </c>
      <c r="J291" s="10">
        <v>45899</v>
      </c>
      <c r="K291" s="10">
        <v>45911</v>
      </c>
      <c r="L291" s="11" t="s">
        <v>392</v>
      </c>
      <c r="M291" s="12">
        <f>H291*154144.61</f>
        <v>72910400.529999986</v>
      </c>
    </row>
    <row r="292" spans="1:13" ht="16.5">
      <c r="A292" s="7">
        <v>289</v>
      </c>
      <c r="B292" s="16">
        <v>15</v>
      </c>
      <c r="C292" s="16">
        <v>2</v>
      </c>
      <c r="D292" s="15">
        <v>9</v>
      </c>
      <c r="E292" s="16">
        <v>6911</v>
      </c>
      <c r="F292" s="17">
        <v>6</v>
      </c>
      <c r="G292" s="17">
        <v>9</v>
      </c>
      <c r="H292" s="7">
        <f>177+392+29+72</f>
        <v>670</v>
      </c>
      <c r="I292" s="15">
        <f t="shared" si="19"/>
        <v>480</v>
      </c>
      <c r="J292" s="10">
        <v>45900</v>
      </c>
      <c r="K292" s="10">
        <v>45919</v>
      </c>
      <c r="L292" s="11" t="s">
        <v>196</v>
      </c>
      <c r="M292" s="12">
        <f>H292*154144.61</f>
        <v>103276888.69999999</v>
      </c>
    </row>
    <row r="293" spans="1:13" ht="15.75" customHeight="1">
      <c r="A293" s="7">
        <v>290</v>
      </c>
      <c r="B293" s="16">
        <v>21</v>
      </c>
      <c r="C293" s="16">
        <v>2</v>
      </c>
      <c r="D293" s="15">
        <v>9</v>
      </c>
      <c r="E293" s="16">
        <v>4257</v>
      </c>
      <c r="F293" s="17">
        <v>46</v>
      </c>
      <c r="G293" s="17">
        <v>9</v>
      </c>
      <c r="H293" s="7">
        <f>234+79</f>
        <v>313</v>
      </c>
      <c r="I293" s="15">
        <f t="shared" si="19"/>
        <v>264</v>
      </c>
      <c r="J293" s="10">
        <v>45910</v>
      </c>
      <c r="K293" s="10">
        <v>45920</v>
      </c>
      <c r="L293" s="11" t="s">
        <v>22</v>
      </c>
      <c r="M293" s="12">
        <f>H293*154144.61-100000</f>
        <v>48147262.929999992</v>
      </c>
    </row>
    <row r="294" spans="1:13" ht="16.5">
      <c r="A294" s="7">
        <v>291</v>
      </c>
      <c r="B294" s="16">
        <v>14</v>
      </c>
      <c r="C294" s="16">
        <v>2</v>
      </c>
      <c r="D294" s="15">
        <v>9</v>
      </c>
      <c r="E294" s="16">
        <v>3461</v>
      </c>
      <c r="F294" s="17" t="s">
        <v>373</v>
      </c>
      <c r="G294" s="17" t="s">
        <v>296</v>
      </c>
      <c r="H294" s="7">
        <f>221+39+71</f>
        <v>331</v>
      </c>
      <c r="I294" s="15">
        <f t="shared" si="19"/>
        <v>192</v>
      </c>
      <c r="J294" s="10">
        <v>45911</v>
      </c>
      <c r="K294" s="10">
        <v>45918</v>
      </c>
      <c r="L294" s="11" t="s">
        <v>126</v>
      </c>
      <c r="M294" s="12">
        <f>H294*154144.61</f>
        <v>51021865.909999996</v>
      </c>
    </row>
    <row r="295" spans="1:13" ht="16.5">
      <c r="A295" s="7">
        <v>292</v>
      </c>
      <c r="B295" s="16">
        <v>18</v>
      </c>
      <c r="C295" s="16">
        <v>2</v>
      </c>
      <c r="D295" s="15">
        <v>9</v>
      </c>
      <c r="E295" s="16">
        <v>4964</v>
      </c>
      <c r="F295" s="17">
        <v>41</v>
      </c>
      <c r="G295" s="17">
        <v>3</v>
      </c>
      <c r="H295" s="7">
        <f>112+234+79</f>
        <v>425</v>
      </c>
      <c r="I295" s="15">
        <f t="shared" si="19"/>
        <v>648</v>
      </c>
      <c r="J295" s="10">
        <v>45895</v>
      </c>
      <c r="K295" s="10">
        <v>45921</v>
      </c>
      <c r="L295" s="11" t="s">
        <v>120</v>
      </c>
      <c r="M295" s="12">
        <f>H295*154144.61</f>
        <v>65511459.249999993</v>
      </c>
    </row>
    <row r="296" spans="1:13" ht="16.5">
      <c r="A296" s="7">
        <v>293</v>
      </c>
      <c r="B296" s="16">
        <v>13</v>
      </c>
      <c r="C296" s="16">
        <v>2</v>
      </c>
      <c r="D296" s="15">
        <v>9</v>
      </c>
      <c r="E296" s="16">
        <v>9523</v>
      </c>
      <c r="F296" s="17">
        <v>41</v>
      </c>
      <c r="G296" s="17">
        <v>3</v>
      </c>
      <c r="H296" s="7">
        <f>140+72</f>
        <v>212</v>
      </c>
      <c r="I296" s="15">
        <f t="shared" si="19"/>
        <v>984</v>
      </c>
      <c r="J296" s="10">
        <v>45884</v>
      </c>
      <c r="K296" s="10">
        <v>45924</v>
      </c>
      <c r="L296" s="11" t="s">
        <v>394</v>
      </c>
      <c r="M296" s="12">
        <f>H296*154144.61-108000</f>
        <v>32570657.319999997</v>
      </c>
    </row>
    <row r="297" spans="1:13" ht="16.5">
      <c r="A297" s="7">
        <v>294</v>
      </c>
      <c r="B297" s="16">
        <v>14</v>
      </c>
      <c r="C297" s="16">
        <v>2</v>
      </c>
      <c r="D297" s="15">
        <v>9</v>
      </c>
      <c r="E297" s="16">
        <v>4341</v>
      </c>
      <c r="F297" s="17" t="s">
        <v>373</v>
      </c>
      <c r="G297" s="17" t="s">
        <v>296</v>
      </c>
      <c r="H297" s="7">
        <f>221+39+71</f>
        <v>331</v>
      </c>
      <c r="I297" s="15">
        <f t="shared" si="19"/>
        <v>192</v>
      </c>
      <c r="J297" s="10">
        <v>45919</v>
      </c>
      <c r="K297" s="10">
        <v>45926</v>
      </c>
      <c r="L297" s="11" t="s">
        <v>126</v>
      </c>
      <c r="M297" s="12">
        <f t="shared" ref="M297:M303" si="22">H297*154144.61</f>
        <v>51021865.909999996</v>
      </c>
    </row>
    <row r="298" spans="1:13" ht="16.5">
      <c r="A298" s="7">
        <v>295</v>
      </c>
      <c r="B298" s="16">
        <v>16</v>
      </c>
      <c r="C298" s="16">
        <v>2</v>
      </c>
      <c r="D298" s="15">
        <v>9</v>
      </c>
      <c r="E298" s="16">
        <v>2889</v>
      </c>
      <c r="F298" s="17">
        <v>52</v>
      </c>
      <c r="G298" s="17">
        <v>9</v>
      </c>
      <c r="H298" s="17">
        <f>392+29+72</f>
        <v>493</v>
      </c>
      <c r="I298" s="16">
        <f t="shared" si="19"/>
        <v>456</v>
      </c>
      <c r="J298" s="18">
        <v>45912</v>
      </c>
      <c r="K298" s="18">
        <v>45930</v>
      </c>
      <c r="L298" s="19" t="s">
        <v>393</v>
      </c>
      <c r="M298" s="20">
        <f t="shared" si="22"/>
        <v>75993292.729999989</v>
      </c>
    </row>
    <row r="299" spans="1:13" ht="31.5">
      <c r="A299" s="7">
        <v>296</v>
      </c>
      <c r="B299" s="16">
        <v>20</v>
      </c>
      <c r="C299" s="16">
        <v>2</v>
      </c>
      <c r="D299" s="15">
        <v>9</v>
      </c>
      <c r="E299" s="16">
        <v>4421</v>
      </c>
      <c r="F299" s="17">
        <v>52</v>
      </c>
      <c r="G299" s="17">
        <v>9</v>
      </c>
      <c r="H299" s="7">
        <f>177+164+39+29+79</f>
        <v>488</v>
      </c>
      <c r="I299" s="15">
        <f t="shared" si="19"/>
        <v>672</v>
      </c>
      <c r="J299" s="10">
        <v>45901</v>
      </c>
      <c r="K299" s="10">
        <v>45928</v>
      </c>
      <c r="L299" s="11" t="s">
        <v>377</v>
      </c>
      <c r="M299" s="12">
        <f t="shared" si="22"/>
        <v>75222569.679999992</v>
      </c>
    </row>
    <row r="300" spans="1:13" ht="31.5">
      <c r="A300" s="7">
        <v>297</v>
      </c>
      <c r="B300" s="7">
        <v>19</v>
      </c>
      <c r="C300" s="7">
        <v>2</v>
      </c>
      <c r="D300" s="15">
        <v>10</v>
      </c>
      <c r="E300" s="7">
        <v>6554</v>
      </c>
      <c r="F300" s="7">
        <v>45</v>
      </c>
      <c r="G300" s="7">
        <v>3</v>
      </c>
      <c r="H300" s="7">
        <f>177+392+234+79</f>
        <v>882</v>
      </c>
      <c r="I300" s="15">
        <f t="shared" si="19"/>
        <v>624</v>
      </c>
      <c r="J300" s="10">
        <v>45910</v>
      </c>
      <c r="K300" s="10">
        <v>45935</v>
      </c>
      <c r="L300" s="11" t="s">
        <v>401</v>
      </c>
      <c r="M300" s="12">
        <f t="shared" si="22"/>
        <v>135955546.01999998</v>
      </c>
    </row>
    <row r="301" spans="1:13">
      <c r="A301" s="7">
        <v>298</v>
      </c>
      <c r="B301" s="7">
        <v>18</v>
      </c>
      <c r="C301" s="7">
        <v>2</v>
      </c>
      <c r="D301" s="15">
        <v>10</v>
      </c>
      <c r="E301" s="7">
        <v>3638</v>
      </c>
      <c r="F301" s="7">
        <v>58</v>
      </c>
      <c r="G301" s="7">
        <v>12</v>
      </c>
      <c r="H301" s="7">
        <f>221+45+39+112+29+79</f>
        <v>525</v>
      </c>
      <c r="I301" s="15">
        <f t="shared" si="19"/>
        <v>504</v>
      </c>
      <c r="J301" s="10">
        <v>45922</v>
      </c>
      <c r="K301" s="10">
        <v>45942</v>
      </c>
      <c r="L301" s="11" t="s">
        <v>432</v>
      </c>
      <c r="M301" s="12">
        <f t="shared" si="22"/>
        <v>80925920.25</v>
      </c>
    </row>
    <row r="302" spans="1:13">
      <c r="A302" s="7">
        <v>299</v>
      </c>
      <c r="B302" s="7">
        <v>19</v>
      </c>
      <c r="C302" s="7">
        <v>2</v>
      </c>
      <c r="D302" s="15">
        <v>10</v>
      </c>
      <c r="E302" s="7">
        <v>7963</v>
      </c>
      <c r="F302" s="7">
        <v>47</v>
      </c>
      <c r="G302" s="7">
        <v>9</v>
      </c>
      <c r="H302" s="7">
        <f>112+39+29+79</f>
        <v>259</v>
      </c>
      <c r="I302" s="15">
        <f t="shared" si="19"/>
        <v>240</v>
      </c>
      <c r="J302" s="10">
        <v>45936</v>
      </c>
      <c r="K302" s="10">
        <v>45945</v>
      </c>
      <c r="L302" s="11" t="s">
        <v>80</v>
      </c>
      <c r="M302" s="12">
        <f t="shared" si="22"/>
        <v>39923453.989999995</v>
      </c>
    </row>
    <row r="303" spans="1:13">
      <c r="A303" s="7">
        <v>300</v>
      </c>
      <c r="B303" s="7">
        <v>16</v>
      </c>
      <c r="C303" s="7">
        <v>2</v>
      </c>
      <c r="D303" s="15">
        <v>10</v>
      </c>
      <c r="E303" s="7">
        <v>7345</v>
      </c>
      <c r="F303" s="7">
        <v>6</v>
      </c>
      <c r="G303" s="7">
        <v>9</v>
      </c>
      <c r="H303" s="35">
        <f>(268)*0.9+39+79</f>
        <v>359.20000000000005</v>
      </c>
      <c r="I303" s="15">
        <f t="shared" si="19"/>
        <v>384</v>
      </c>
      <c r="J303" s="10">
        <v>45932</v>
      </c>
      <c r="K303" s="10">
        <v>45947</v>
      </c>
      <c r="L303" s="11" t="s">
        <v>420</v>
      </c>
      <c r="M303" s="12">
        <f t="shared" si="22"/>
        <v>55368743.912</v>
      </c>
    </row>
    <row r="304" spans="1:13">
      <c r="A304" s="7">
        <v>301</v>
      </c>
      <c r="B304" s="7">
        <v>17</v>
      </c>
      <c r="C304" s="7">
        <v>2</v>
      </c>
      <c r="D304" s="15">
        <v>10</v>
      </c>
      <c r="E304" s="7">
        <v>3756</v>
      </c>
      <c r="F304" s="7">
        <v>31</v>
      </c>
      <c r="G304" s="7">
        <v>12</v>
      </c>
      <c r="H304" s="7">
        <f>392+234+79</f>
        <v>705</v>
      </c>
      <c r="I304" s="15">
        <f t="shared" si="19"/>
        <v>1368</v>
      </c>
      <c r="J304" s="10">
        <v>45892</v>
      </c>
      <c r="K304" s="10">
        <v>45948</v>
      </c>
      <c r="L304" s="11" t="s">
        <v>157</v>
      </c>
      <c r="M304" s="12">
        <f>H304*154144.61-100000</f>
        <v>108571950.05</v>
      </c>
    </row>
    <row r="305" spans="1:13">
      <c r="A305" s="7">
        <v>302</v>
      </c>
      <c r="B305" s="7">
        <v>21</v>
      </c>
      <c r="C305" s="7">
        <v>2</v>
      </c>
      <c r="D305" s="15">
        <v>10</v>
      </c>
      <c r="E305" s="7">
        <v>9688</v>
      </c>
      <c r="F305" s="7">
        <v>49</v>
      </c>
      <c r="G305" s="7">
        <v>9</v>
      </c>
      <c r="H305" s="7">
        <f>268+39+45+29+79</f>
        <v>460</v>
      </c>
      <c r="I305" s="15">
        <f t="shared" si="19"/>
        <v>720</v>
      </c>
      <c r="J305" s="10">
        <v>45921</v>
      </c>
      <c r="K305" s="10">
        <v>45950</v>
      </c>
      <c r="L305" s="11" t="s">
        <v>421</v>
      </c>
      <c r="M305" s="12">
        <f>H305*154144.61</f>
        <v>70906520.599999994</v>
      </c>
    </row>
    <row r="306" spans="1:13" ht="16.5">
      <c r="A306" s="7">
        <v>303</v>
      </c>
      <c r="B306" s="7">
        <v>13</v>
      </c>
      <c r="C306" s="7">
        <v>2</v>
      </c>
      <c r="D306" s="15">
        <v>10</v>
      </c>
      <c r="E306" s="7">
        <v>5963</v>
      </c>
      <c r="F306" s="7">
        <v>45</v>
      </c>
      <c r="G306" s="7">
        <v>3</v>
      </c>
      <c r="H306" s="7">
        <f>140+39+79</f>
        <v>258</v>
      </c>
      <c r="I306" s="15">
        <f t="shared" si="19"/>
        <v>192</v>
      </c>
      <c r="J306" s="10">
        <v>45944</v>
      </c>
      <c r="K306" s="10">
        <v>45951</v>
      </c>
      <c r="L306" s="19" t="s">
        <v>40</v>
      </c>
      <c r="M306" s="12">
        <f>H306*154144.61</f>
        <v>39769309.379999995</v>
      </c>
    </row>
    <row r="307" spans="1:13">
      <c r="A307" s="7">
        <v>304</v>
      </c>
      <c r="B307" s="7">
        <v>18</v>
      </c>
      <c r="C307" s="7">
        <v>2</v>
      </c>
      <c r="D307" s="15">
        <v>10</v>
      </c>
      <c r="E307" s="7">
        <v>3353</v>
      </c>
      <c r="F307" s="7">
        <v>47</v>
      </c>
      <c r="G307" s="7">
        <v>9</v>
      </c>
      <c r="H307" s="7">
        <f>392</f>
        <v>392</v>
      </c>
      <c r="I307" s="15">
        <f t="shared" si="19"/>
        <v>264</v>
      </c>
      <c r="J307" s="10">
        <v>45943</v>
      </c>
      <c r="K307" s="10">
        <v>45953</v>
      </c>
      <c r="L307" s="11" t="s">
        <v>118</v>
      </c>
      <c r="M307" s="12">
        <f>H307*154144.61</f>
        <v>60424687.119999997</v>
      </c>
    </row>
    <row r="308" spans="1:13">
      <c r="A308" s="7">
        <v>305</v>
      </c>
      <c r="B308" s="7">
        <v>21</v>
      </c>
      <c r="C308" s="7">
        <v>2</v>
      </c>
      <c r="D308" s="15">
        <v>10</v>
      </c>
      <c r="E308" s="7">
        <v>4352</v>
      </c>
      <c r="F308" s="7">
        <v>34</v>
      </c>
      <c r="G308" s="7">
        <v>12</v>
      </c>
      <c r="H308" s="7">
        <f>221+140+39+90</f>
        <v>490</v>
      </c>
      <c r="I308" s="15">
        <f t="shared" si="19"/>
        <v>216</v>
      </c>
      <c r="J308" s="10">
        <v>45951</v>
      </c>
      <c r="K308" s="10">
        <v>45959</v>
      </c>
      <c r="L308" s="11" t="s">
        <v>422</v>
      </c>
      <c r="M308" s="12">
        <f>H308*154144.61</f>
        <v>75530858.899999991</v>
      </c>
    </row>
    <row r="309" spans="1:13">
      <c r="A309" s="7">
        <v>306</v>
      </c>
      <c r="B309" s="7">
        <v>13</v>
      </c>
      <c r="C309" s="7">
        <v>2</v>
      </c>
      <c r="D309" s="15">
        <v>10</v>
      </c>
      <c r="E309" s="7">
        <v>9693</v>
      </c>
      <c r="F309" s="7">
        <v>45</v>
      </c>
      <c r="G309" s="7">
        <v>3</v>
      </c>
      <c r="H309" s="7">
        <f>112+39+29+90</f>
        <v>270</v>
      </c>
      <c r="I309" s="15">
        <f t="shared" si="19"/>
        <v>240</v>
      </c>
      <c r="J309" s="10">
        <v>45952</v>
      </c>
      <c r="K309" s="10">
        <v>45961</v>
      </c>
      <c r="L309" s="11" t="s">
        <v>80</v>
      </c>
      <c r="M309" s="12">
        <f>H309*154144.61-200000</f>
        <v>41419044.699999996</v>
      </c>
    </row>
    <row r="310" spans="1:13">
      <c r="A310" s="7">
        <v>307</v>
      </c>
      <c r="B310" s="15">
        <v>20</v>
      </c>
      <c r="C310" s="15">
        <v>2</v>
      </c>
      <c r="D310" s="7">
        <v>11</v>
      </c>
      <c r="E310" s="15">
        <v>4733</v>
      </c>
      <c r="F310" s="7">
        <v>52</v>
      </c>
      <c r="G310" s="7">
        <v>9</v>
      </c>
      <c r="H310" s="7">
        <f>164+39+29+72</f>
        <v>304</v>
      </c>
      <c r="I310" s="9">
        <f t="shared" si="19"/>
        <v>840</v>
      </c>
      <c r="J310" s="10">
        <v>45929</v>
      </c>
      <c r="K310" s="10">
        <v>45963</v>
      </c>
      <c r="L310" s="11" t="s">
        <v>137</v>
      </c>
      <c r="M310" s="12">
        <f t="shared" ref="M310:M315" si="23">H310*154144.61</f>
        <v>46859961.439999998</v>
      </c>
    </row>
    <row r="311" spans="1:13">
      <c r="A311" s="7">
        <v>308</v>
      </c>
      <c r="B311" s="15">
        <v>18</v>
      </c>
      <c r="C311" s="15">
        <v>2</v>
      </c>
      <c r="D311" s="7">
        <v>11</v>
      </c>
      <c r="E311" s="15">
        <v>4201</v>
      </c>
      <c r="F311" s="7">
        <v>45</v>
      </c>
      <c r="G311" s="7">
        <v>3</v>
      </c>
      <c r="H311" s="7">
        <f>221+112+29+39+90</f>
        <v>491</v>
      </c>
      <c r="I311" s="9">
        <f t="shared" si="19"/>
        <v>264</v>
      </c>
      <c r="J311" s="10">
        <v>45954</v>
      </c>
      <c r="K311" s="10">
        <v>45964</v>
      </c>
      <c r="L311" s="11" t="s">
        <v>439</v>
      </c>
      <c r="M311" s="12">
        <f t="shared" si="23"/>
        <v>75685003.50999999</v>
      </c>
    </row>
    <row r="312" spans="1:13">
      <c r="A312" s="7">
        <v>309</v>
      </c>
      <c r="B312" s="15">
        <v>21</v>
      </c>
      <c r="C312" s="15">
        <v>2</v>
      </c>
      <c r="D312" s="7">
        <v>11</v>
      </c>
      <c r="E312" s="15">
        <v>2699</v>
      </c>
      <c r="F312" s="8">
        <v>43</v>
      </c>
      <c r="G312" s="8">
        <v>3</v>
      </c>
      <c r="H312" s="7">
        <f>221+90</f>
        <v>311</v>
      </c>
      <c r="I312" s="9">
        <f t="shared" si="19"/>
        <v>216</v>
      </c>
      <c r="J312" s="10">
        <v>45960</v>
      </c>
      <c r="K312" s="10">
        <v>45968</v>
      </c>
      <c r="L312" s="11" t="s">
        <v>78</v>
      </c>
      <c r="M312" s="12">
        <f t="shared" si="23"/>
        <v>47938973.709999993</v>
      </c>
    </row>
    <row r="313" spans="1:13">
      <c r="A313" s="7">
        <v>310</v>
      </c>
      <c r="B313" s="15">
        <v>17</v>
      </c>
      <c r="C313" s="15">
        <v>2</v>
      </c>
      <c r="D313" s="7">
        <v>11</v>
      </c>
      <c r="E313" s="15">
        <v>2891</v>
      </c>
      <c r="F313" s="7">
        <v>52</v>
      </c>
      <c r="G313" s="7">
        <v>9</v>
      </c>
      <c r="H313" s="7">
        <f>39+392+90</f>
        <v>521</v>
      </c>
      <c r="I313" s="9">
        <f t="shared" si="19"/>
        <v>528</v>
      </c>
      <c r="J313" s="10">
        <v>45949</v>
      </c>
      <c r="K313" s="10">
        <v>45970</v>
      </c>
      <c r="L313" s="11" t="s">
        <v>117</v>
      </c>
      <c r="M313" s="12">
        <f t="shared" si="23"/>
        <v>80309341.809999987</v>
      </c>
    </row>
    <row r="314" spans="1:13">
      <c r="A314" s="7">
        <v>311</v>
      </c>
      <c r="B314" s="15">
        <v>16</v>
      </c>
      <c r="C314" s="15">
        <v>2</v>
      </c>
      <c r="D314" s="7">
        <v>11</v>
      </c>
      <c r="E314" s="15">
        <v>9699</v>
      </c>
      <c r="F314" s="7">
        <v>47</v>
      </c>
      <c r="G314" s="7">
        <v>9</v>
      </c>
      <c r="H314" s="7">
        <f>112+234+90</f>
        <v>436</v>
      </c>
      <c r="I314" s="9">
        <f t="shared" si="19"/>
        <v>576</v>
      </c>
      <c r="J314" s="10">
        <v>45948</v>
      </c>
      <c r="K314" s="10">
        <v>45971</v>
      </c>
      <c r="L314" s="11" t="s">
        <v>120</v>
      </c>
      <c r="M314" s="12">
        <f t="shared" si="23"/>
        <v>67207049.959999993</v>
      </c>
    </row>
    <row r="315" spans="1:13">
      <c r="A315" s="7">
        <v>312</v>
      </c>
      <c r="B315" s="15">
        <v>18</v>
      </c>
      <c r="C315" s="15">
        <v>2</v>
      </c>
      <c r="D315" s="7">
        <v>11</v>
      </c>
      <c r="E315" s="15">
        <v>291</v>
      </c>
      <c r="F315" s="7">
        <v>45</v>
      </c>
      <c r="G315" s="7">
        <v>3</v>
      </c>
      <c r="H315" s="7">
        <f>112+39+29+90</f>
        <v>270</v>
      </c>
      <c r="I315" s="9">
        <f t="shared" si="19"/>
        <v>240</v>
      </c>
      <c r="J315" s="10">
        <v>45965</v>
      </c>
      <c r="K315" s="10">
        <v>45974</v>
      </c>
      <c r="L315" s="11" t="s">
        <v>65</v>
      </c>
      <c r="M315" s="12">
        <f t="shared" si="23"/>
        <v>41619044.699999996</v>
      </c>
    </row>
    <row r="316" spans="1:13">
      <c r="A316" s="7">
        <v>313</v>
      </c>
      <c r="B316" s="15">
        <v>13</v>
      </c>
      <c r="C316" s="15">
        <v>2</v>
      </c>
      <c r="D316" s="7">
        <v>11</v>
      </c>
      <c r="E316" s="15">
        <v>8110</v>
      </c>
      <c r="F316" s="7">
        <v>42</v>
      </c>
      <c r="G316" s="7">
        <v>3</v>
      </c>
      <c r="H316" s="7">
        <f>177+140+39+83</f>
        <v>439</v>
      </c>
      <c r="I316" s="9">
        <f t="shared" si="19"/>
        <v>384</v>
      </c>
      <c r="J316" s="10">
        <v>45962</v>
      </c>
      <c r="K316" s="10">
        <v>45977</v>
      </c>
      <c r="L316" s="11" t="s">
        <v>433</v>
      </c>
      <c r="M316" s="12">
        <f>H316*154144.61-200000</f>
        <v>67469483.789999992</v>
      </c>
    </row>
    <row r="317" spans="1:13">
      <c r="A317" s="7">
        <v>314</v>
      </c>
      <c r="B317" s="15">
        <v>14</v>
      </c>
      <c r="C317" s="15">
        <v>2</v>
      </c>
      <c r="D317" s="7">
        <v>11</v>
      </c>
      <c r="E317" s="15">
        <v>1965</v>
      </c>
      <c r="F317" s="22" t="s">
        <v>48</v>
      </c>
      <c r="G317" s="22" t="s">
        <v>51</v>
      </c>
      <c r="H317" s="7">
        <f>137+39+77</f>
        <v>253</v>
      </c>
      <c r="I317" s="9">
        <f t="shared" si="19"/>
        <v>264</v>
      </c>
      <c r="J317" s="10">
        <v>45969</v>
      </c>
      <c r="K317" s="10">
        <v>45979</v>
      </c>
      <c r="L317" s="11" t="s">
        <v>440</v>
      </c>
      <c r="M317" s="12">
        <f>H317*154144.61</f>
        <v>38998586.329999998</v>
      </c>
    </row>
    <row r="318" spans="1:13" ht="47.25">
      <c r="A318" s="7">
        <v>315</v>
      </c>
      <c r="B318" s="15">
        <v>15</v>
      </c>
      <c r="C318" s="15">
        <v>2</v>
      </c>
      <c r="D318" s="7">
        <v>11</v>
      </c>
      <c r="E318" s="15">
        <v>6666</v>
      </c>
      <c r="F318" s="22" t="s">
        <v>142</v>
      </c>
      <c r="G318" s="22" t="s">
        <v>51</v>
      </c>
      <c r="H318" s="7">
        <f>268+164+39+29+137+39+66</f>
        <v>742</v>
      </c>
      <c r="I318" s="9">
        <f t="shared" si="19"/>
        <v>1464</v>
      </c>
      <c r="J318" s="10">
        <v>45920</v>
      </c>
      <c r="K318" s="10">
        <v>45980</v>
      </c>
      <c r="L318" s="11" t="s">
        <v>441</v>
      </c>
      <c r="M318" s="12">
        <f>H318*154144.61-123000-200000</f>
        <v>114052300.61999999</v>
      </c>
    </row>
    <row r="319" spans="1:13" ht="16.5">
      <c r="A319" s="7">
        <v>316</v>
      </c>
      <c r="B319" s="15">
        <v>20</v>
      </c>
      <c r="C319" s="15">
        <v>2</v>
      </c>
      <c r="D319" s="7">
        <v>11</v>
      </c>
      <c r="E319" s="15">
        <v>1347</v>
      </c>
      <c r="F319" s="7">
        <v>45</v>
      </c>
      <c r="G319" s="7">
        <v>3</v>
      </c>
      <c r="H319" s="7">
        <f>(221)*0.9+202+39+90</f>
        <v>529.9</v>
      </c>
      <c r="I319" s="9">
        <f t="shared" si="19"/>
        <v>432</v>
      </c>
      <c r="J319" s="10">
        <v>45964</v>
      </c>
      <c r="K319" s="10">
        <v>45981</v>
      </c>
      <c r="L319" s="19" t="s">
        <v>442</v>
      </c>
      <c r="M319" s="12">
        <f>H319*154144.61</f>
        <v>81681228.838999987</v>
      </c>
    </row>
    <row r="320" spans="1:13">
      <c r="A320" s="7">
        <v>317</v>
      </c>
      <c r="B320" s="15">
        <v>18</v>
      </c>
      <c r="C320" s="15">
        <v>2</v>
      </c>
      <c r="D320" s="7">
        <v>11</v>
      </c>
      <c r="E320" s="15">
        <v>1027</v>
      </c>
      <c r="F320" s="7">
        <v>47</v>
      </c>
      <c r="G320" s="7">
        <v>9</v>
      </c>
      <c r="H320" s="7">
        <f>90</f>
        <v>90</v>
      </c>
      <c r="I320" s="9">
        <f t="shared" si="19"/>
        <v>192</v>
      </c>
      <c r="J320" s="10">
        <v>45975</v>
      </c>
      <c r="K320" s="10">
        <v>45982</v>
      </c>
      <c r="L320" s="11" t="s">
        <v>176</v>
      </c>
      <c r="M320" s="12">
        <f>H320*154144.61</f>
        <v>13873014.899999999</v>
      </c>
    </row>
    <row r="321" spans="1:13">
      <c r="A321" s="7">
        <v>318</v>
      </c>
      <c r="B321" s="15">
        <v>17</v>
      </c>
      <c r="C321" s="15">
        <v>2</v>
      </c>
      <c r="D321" s="7">
        <v>11</v>
      </c>
      <c r="E321" s="15">
        <v>2212</v>
      </c>
      <c r="F321" s="7">
        <v>47</v>
      </c>
      <c r="G321" s="7">
        <v>9</v>
      </c>
      <c r="H321" s="7">
        <f>177+112+39+29+83</f>
        <v>440</v>
      </c>
      <c r="I321" s="9">
        <f t="shared" si="19"/>
        <v>408</v>
      </c>
      <c r="J321" s="10">
        <v>45971</v>
      </c>
      <c r="K321" s="10">
        <v>45987</v>
      </c>
      <c r="L321" s="11" t="s">
        <v>435</v>
      </c>
      <c r="M321" s="12">
        <f>H321*154144.61-100000-216000</f>
        <v>67507628.399999991</v>
      </c>
    </row>
    <row r="322" spans="1:13">
      <c r="A322" s="7">
        <v>319</v>
      </c>
      <c r="B322" s="15">
        <v>21</v>
      </c>
      <c r="C322" s="15">
        <v>2</v>
      </c>
      <c r="D322" s="7">
        <v>11</v>
      </c>
      <c r="E322" s="15">
        <v>6649</v>
      </c>
      <c r="F322" s="7">
        <v>40</v>
      </c>
      <c r="G322" s="7">
        <v>12</v>
      </c>
      <c r="H322" s="7">
        <f>177+234+83</f>
        <v>494</v>
      </c>
      <c r="I322" s="9">
        <f t="shared" si="19"/>
        <v>480</v>
      </c>
      <c r="J322" s="10">
        <v>45968</v>
      </c>
      <c r="K322" s="10">
        <v>45987</v>
      </c>
      <c r="L322" s="11" t="s">
        <v>443</v>
      </c>
      <c r="M322" s="12">
        <f>H322*154144.61-108000</f>
        <v>76039437.339999989</v>
      </c>
    </row>
    <row r="323" spans="1:13" ht="31.5">
      <c r="A323" s="7">
        <v>320</v>
      </c>
      <c r="B323" s="15">
        <v>19</v>
      </c>
      <c r="C323" s="15">
        <v>2</v>
      </c>
      <c r="D323" s="7">
        <v>11</v>
      </c>
      <c r="E323" s="15">
        <v>1793</v>
      </c>
      <c r="F323" s="7">
        <v>5</v>
      </c>
      <c r="G323" s="7">
        <v>3</v>
      </c>
      <c r="H323" s="7">
        <f>140+39+37+83</f>
        <v>299</v>
      </c>
      <c r="I323" s="9">
        <f t="shared" si="19"/>
        <v>1032</v>
      </c>
      <c r="J323" s="10">
        <v>45946</v>
      </c>
      <c r="K323" s="10">
        <v>45988</v>
      </c>
      <c r="L323" s="11" t="s">
        <v>444</v>
      </c>
      <c r="M323" s="12">
        <f>H323*154144.61</f>
        <v>46089238.389999993</v>
      </c>
    </row>
    <row r="324" spans="1:13">
      <c r="A324" s="7">
        <v>321</v>
      </c>
      <c r="B324" s="15">
        <v>16</v>
      </c>
      <c r="C324" s="15">
        <v>2</v>
      </c>
      <c r="D324" s="7">
        <v>12</v>
      </c>
      <c r="E324" s="15">
        <v>9551</v>
      </c>
      <c r="F324" s="7">
        <v>31</v>
      </c>
      <c r="G324" s="7">
        <v>12</v>
      </c>
      <c r="H324" s="7">
        <f>39+392+29+90</f>
        <v>550</v>
      </c>
      <c r="I324" s="15">
        <f t="shared" ref="I324:I387" si="24">(K324-J324+1)*24</f>
        <v>816</v>
      </c>
      <c r="J324" s="10">
        <v>45971</v>
      </c>
      <c r="K324" s="10">
        <v>46004</v>
      </c>
      <c r="L324" s="11" t="s">
        <v>487</v>
      </c>
      <c r="M324" s="12">
        <f>H324*154144.61</f>
        <v>84779535.499999985</v>
      </c>
    </row>
    <row r="325" spans="1:13">
      <c r="A325" s="7">
        <v>322</v>
      </c>
      <c r="B325" s="15">
        <v>13</v>
      </c>
      <c r="C325" s="15">
        <v>2</v>
      </c>
      <c r="D325" s="7">
        <v>12</v>
      </c>
      <c r="E325" s="15">
        <v>8924</v>
      </c>
      <c r="F325" s="7">
        <v>49</v>
      </c>
      <c r="G325" s="7">
        <v>9</v>
      </c>
      <c r="H325" s="7">
        <f>177+392+29+90</f>
        <v>688</v>
      </c>
      <c r="I325" s="15">
        <f t="shared" si="24"/>
        <v>648</v>
      </c>
      <c r="J325" s="10">
        <v>45978</v>
      </c>
      <c r="K325" s="10">
        <v>46004</v>
      </c>
      <c r="L325" s="11" t="s">
        <v>347</v>
      </c>
      <c r="M325" s="12">
        <f>H325*154144.61</f>
        <v>106051491.67999999</v>
      </c>
    </row>
    <row r="326" spans="1:13">
      <c r="A326" s="7">
        <v>323</v>
      </c>
      <c r="B326" s="15">
        <v>19</v>
      </c>
      <c r="C326" s="15">
        <v>2</v>
      </c>
      <c r="D326" s="7">
        <v>12</v>
      </c>
      <c r="E326" s="15">
        <v>2446</v>
      </c>
      <c r="F326" s="7">
        <v>49</v>
      </c>
      <c r="G326" s="7">
        <v>9</v>
      </c>
      <c r="H326" s="7">
        <f>112+39+29+90</f>
        <v>270</v>
      </c>
      <c r="I326" s="15">
        <f t="shared" si="24"/>
        <v>432</v>
      </c>
      <c r="J326" s="10">
        <v>45989</v>
      </c>
      <c r="K326" s="10">
        <v>46006</v>
      </c>
      <c r="L326" s="11" t="s">
        <v>488</v>
      </c>
      <c r="M326" s="12">
        <f>H326*154144.61</f>
        <v>41619044.699999996</v>
      </c>
    </row>
    <row r="327" spans="1:13" ht="31.5">
      <c r="A327" s="7">
        <v>324</v>
      </c>
      <c r="B327" s="15">
        <v>14</v>
      </c>
      <c r="C327" s="15">
        <v>2</v>
      </c>
      <c r="D327" s="7">
        <v>12</v>
      </c>
      <c r="E327" s="15">
        <v>4530</v>
      </c>
      <c r="F327" s="7" t="s">
        <v>132</v>
      </c>
      <c r="G327" s="7" t="s">
        <v>51</v>
      </c>
      <c r="H327" s="7">
        <f>177+164+37+39+29+81</f>
        <v>527</v>
      </c>
      <c r="I327" s="15">
        <f t="shared" si="24"/>
        <v>696</v>
      </c>
      <c r="J327" s="10">
        <v>45980</v>
      </c>
      <c r="K327" s="10">
        <v>46008</v>
      </c>
      <c r="L327" s="11" t="s">
        <v>491</v>
      </c>
      <c r="M327" s="12">
        <f>H327*154144.61</f>
        <v>81234209.469999999</v>
      </c>
    </row>
    <row r="328" spans="1:13" ht="31.5">
      <c r="A328" s="7">
        <v>325</v>
      </c>
      <c r="B328" s="15">
        <v>21</v>
      </c>
      <c r="C328" s="15">
        <v>2</v>
      </c>
      <c r="D328" s="7">
        <v>12</v>
      </c>
      <c r="E328" s="15">
        <v>8115</v>
      </c>
      <c r="F328" s="7">
        <v>41</v>
      </c>
      <c r="G328" s="7">
        <v>3</v>
      </c>
      <c r="H328" s="7">
        <f>177+29+137+39+76</f>
        <v>458</v>
      </c>
      <c r="I328" s="15">
        <f t="shared" si="24"/>
        <v>552</v>
      </c>
      <c r="J328" s="10">
        <v>45988</v>
      </c>
      <c r="K328" s="10">
        <v>46010</v>
      </c>
      <c r="L328" s="11" t="s">
        <v>486</v>
      </c>
      <c r="M328" s="12">
        <f>H328*154144.61-(80000)</f>
        <v>70518231.379999995</v>
      </c>
    </row>
    <row r="329" spans="1:13">
      <c r="A329" s="7">
        <v>326</v>
      </c>
      <c r="B329" s="15">
        <v>18</v>
      </c>
      <c r="C329" s="15">
        <v>2</v>
      </c>
      <c r="D329" s="7">
        <v>12</v>
      </c>
      <c r="E329" s="15">
        <v>3891</v>
      </c>
      <c r="F329" s="7">
        <v>9</v>
      </c>
      <c r="G329" s="7">
        <v>12</v>
      </c>
      <c r="H329" s="7">
        <f>177+392+29+83</f>
        <v>681</v>
      </c>
      <c r="I329" s="15">
        <f t="shared" si="24"/>
        <v>672</v>
      </c>
      <c r="J329" s="10">
        <v>45988</v>
      </c>
      <c r="K329" s="10">
        <v>46015</v>
      </c>
      <c r="L329" s="11" t="s">
        <v>347</v>
      </c>
      <c r="M329" s="12">
        <f>H329*154144.61</f>
        <v>104972479.41</v>
      </c>
    </row>
    <row r="330" spans="1:13" ht="31.5">
      <c r="A330" s="7">
        <v>327</v>
      </c>
      <c r="B330" s="15">
        <v>20</v>
      </c>
      <c r="C330" s="15">
        <v>2</v>
      </c>
      <c r="D330" s="7">
        <v>12</v>
      </c>
      <c r="E330" s="15">
        <v>3940</v>
      </c>
      <c r="F330" s="7">
        <v>47</v>
      </c>
      <c r="G330" s="7">
        <v>9</v>
      </c>
      <c r="H330" s="7">
        <f>(268*0.9)+39+164+29+90</f>
        <v>563.20000000000005</v>
      </c>
      <c r="I330" s="15">
        <f t="shared" si="24"/>
        <v>888</v>
      </c>
      <c r="J330" s="10">
        <v>45980</v>
      </c>
      <c r="K330" s="10">
        <v>46016</v>
      </c>
      <c r="L330" s="11" t="s">
        <v>489</v>
      </c>
      <c r="M330" s="12">
        <f>H330*154144.61-(300000)</f>
        <v>86514244.351999998</v>
      </c>
    </row>
    <row r="331" spans="1:13">
      <c r="A331" s="7">
        <v>328</v>
      </c>
      <c r="B331" s="15">
        <v>13</v>
      </c>
      <c r="C331" s="15">
        <v>2</v>
      </c>
      <c r="D331" s="7">
        <v>12</v>
      </c>
      <c r="E331" s="15">
        <v>520</v>
      </c>
      <c r="F331" s="7">
        <v>52</v>
      </c>
      <c r="G331" s="7">
        <v>9</v>
      </c>
      <c r="H331" s="7">
        <f>140+39+90</f>
        <v>269</v>
      </c>
      <c r="I331" s="15">
        <f t="shared" si="24"/>
        <v>336</v>
      </c>
      <c r="J331" s="10">
        <v>46004</v>
      </c>
      <c r="K331" s="10">
        <v>46017</v>
      </c>
      <c r="L331" s="11" t="s">
        <v>490</v>
      </c>
      <c r="M331" s="12">
        <f t="shared" ref="M331:M339" si="25">H331*154144.61</f>
        <v>41464900.089999996</v>
      </c>
    </row>
    <row r="332" spans="1:13">
      <c r="A332" s="7">
        <v>329</v>
      </c>
      <c r="B332" s="8">
        <v>33</v>
      </c>
      <c r="C332" s="8">
        <v>3</v>
      </c>
      <c r="D332" s="8">
        <v>1</v>
      </c>
      <c r="E332" s="8">
        <v>1582</v>
      </c>
      <c r="F332" s="8">
        <v>73</v>
      </c>
      <c r="G332" s="8">
        <v>13</v>
      </c>
      <c r="H332" s="7">
        <f>40+90</f>
        <v>130</v>
      </c>
      <c r="I332" s="9">
        <f t="shared" si="24"/>
        <v>528</v>
      </c>
      <c r="J332" s="10">
        <v>45612</v>
      </c>
      <c r="K332" s="10">
        <v>45633</v>
      </c>
      <c r="L332" s="11" t="s">
        <v>31</v>
      </c>
      <c r="M332" s="12">
        <f t="shared" si="25"/>
        <v>20038799.299999997</v>
      </c>
    </row>
    <row r="333" spans="1:13">
      <c r="A333" s="7">
        <v>330</v>
      </c>
      <c r="B333" s="7">
        <v>24</v>
      </c>
      <c r="C333" s="7">
        <v>3</v>
      </c>
      <c r="D333" s="8">
        <v>1</v>
      </c>
      <c r="E333" s="7">
        <v>7501</v>
      </c>
      <c r="F333" s="8" t="s">
        <v>25</v>
      </c>
      <c r="G333" s="8" t="s">
        <v>13</v>
      </c>
      <c r="H333" s="7">
        <f>221+39+82</f>
        <v>342</v>
      </c>
      <c r="I333" s="9">
        <f t="shared" si="24"/>
        <v>264</v>
      </c>
      <c r="J333" s="10">
        <v>45648</v>
      </c>
      <c r="K333" s="10">
        <v>45658</v>
      </c>
      <c r="L333" s="14" t="s">
        <v>28</v>
      </c>
      <c r="M333" s="12">
        <f t="shared" si="25"/>
        <v>52717456.619999997</v>
      </c>
    </row>
    <row r="334" spans="1:13">
      <c r="A334" s="7">
        <v>331</v>
      </c>
      <c r="B334" s="7">
        <v>28</v>
      </c>
      <c r="C334" s="8">
        <v>3</v>
      </c>
      <c r="D334" s="8">
        <v>1</v>
      </c>
      <c r="E334" s="7">
        <v>7578</v>
      </c>
      <c r="F334" s="15">
        <v>73</v>
      </c>
      <c r="G334" s="15">
        <v>13</v>
      </c>
      <c r="H334" s="7">
        <f>29+90</f>
        <v>119</v>
      </c>
      <c r="I334" s="9">
        <f t="shared" si="24"/>
        <v>216</v>
      </c>
      <c r="J334" s="10">
        <v>45651</v>
      </c>
      <c r="K334" s="10">
        <v>45659</v>
      </c>
      <c r="L334" s="11" t="s">
        <v>16</v>
      </c>
      <c r="M334" s="12">
        <f t="shared" si="25"/>
        <v>18343208.59</v>
      </c>
    </row>
    <row r="335" spans="1:13">
      <c r="A335" s="7">
        <v>332</v>
      </c>
      <c r="B335" s="7">
        <v>31</v>
      </c>
      <c r="C335" s="7">
        <v>3</v>
      </c>
      <c r="D335" s="8">
        <v>1</v>
      </c>
      <c r="E335" s="7">
        <v>9821</v>
      </c>
      <c r="F335" s="8">
        <v>80</v>
      </c>
      <c r="G335" s="8">
        <v>5</v>
      </c>
      <c r="H335" s="7">
        <f>221+29+45+90</f>
        <v>385</v>
      </c>
      <c r="I335" s="9">
        <f t="shared" si="24"/>
        <v>432</v>
      </c>
      <c r="J335" s="10">
        <v>45643</v>
      </c>
      <c r="K335" s="10">
        <v>45660</v>
      </c>
      <c r="L335" s="14" t="s">
        <v>61</v>
      </c>
      <c r="M335" s="12">
        <f t="shared" si="25"/>
        <v>59345674.849999994</v>
      </c>
    </row>
    <row r="336" spans="1:13">
      <c r="A336" s="7">
        <v>333</v>
      </c>
      <c r="B336" s="15">
        <v>33</v>
      </c>
      <c r="C336" s="8">
        <v>3</v>
      </c>
      <c r="D336" s="8">
        <v>1</v>
      </c>
      <c r="E336" s="7">
        <v>464</v>
      </c>
      <c r="F336" s="15">
        <v>16</v>
      </c>
      <c r="G336" s="7">
        <v>10</v>
      </c>
      <c r="H336" s="7">
        <f>140+39+37+83</f>
        <v>299</v>
      </c>
      <c r="I336" s="9">
        <f t="shared" si="24"/>
        <v>312</v>
      </c>
      <c r="J336" s="10">
        <v>45649</v>
      </c>
      <c r="K336" s="10">
        <v>45661</v>
      </c>
      <c r="L336" s="11" t="s">
        <v>62</v>
      </c>
      <c r="M336" s="12">
        <f t="shared" si="25"/>
        <v>46089238.389999993</v>
      </c>
    </row>
    <row r="337" spans="1:13">
      <c r="A337" s="7">
        <v>334</v>
      </c>
      <c r="B337" s="15">
        <v>23</v>
      </c>
      <c r="C337" s="7">
        <v>3</v>
      </c>
      <c r="D337" s="8">
        <v>1</v>
      </c>
      <c r="E337" s="7">
        <v>7556</v>
      </c>
      <c r="F337" s="15">
        <v>76</v>
      </c>
      <c r="G337" s="15">
        <v>5</v>
      </c>
      <c r="H337" s="7">
        <f>177+45+29+90</f>
        <v>341</v>
      </c>
      <c r="I337" s="9">
        <f t="shared" si="24"/>
        <v>288</v>
      </c>
      <c r="J337" s="10">
        <v>45650</v>
      </c>
      <c r="K337" s="10">
        <v>45661</v>
      </c>
      <c r="L337" s="14" t="s">
        <v>70</v>
      </c>
      <c r="M337" s="12">
        <f t="shared" si="25"/>
        <v>52563312.009999998</v>
      </c>
    </row>
    <row r="338" spans="1:13">
      <c r="A338" s="7">
        <v>335</v>
      </c>
      <c r="B338" s="22">
        <v>27</v>
      </c>
      <c r="C338" s="8">
        <v>3</v>
      </c>
      <c r="D338" s="8">
        <v>1</v>
      </c>
      <c r="E338" s="22">
        <v>6250</v>
      </c>
      <c r="F338" s="22">
        <v>92</v>
      </c>
      <c r="G338" s="22">
        <v>10</v>
      </c>
      <c r="H338" s="22">
        <f>268+39+29+90</f>
        <v>426</v>
      </c>
      <c r="I338" s="9">
        <f t="shared" si="24"/>
        <v>624</v>
      </c>
      <c r="J338" s="23">
        <v>45643</v>
      </c>
      <c r="K338" s="10">
        <v>45668</v>
      </c>
      <c r="L338" s="14" t="s">
        <v>73</v>
      </c>
      <c r="M338" s="12">
        <f t="shared" si="25"/>
        <v>65665603.859999992</v>
      </c>
    </row>
    <row r="339" spans="1:13">
      <c r="A339" s="7">
        <v>336</v>
      </c>
      <c r="B339" s="24">
        <v>33</v>
      </c>
      <c r="C339" s="7">
        <v>3</v>
      </c>
      <c r="D339" s="8">
        <v>1</v>
      </c>
      <c r="E339" s="15">
        <v>8191</v>
      </c>
      <c r="F339" s="15">
        <v>76</v>
      </c>
      <c r="G339" s="15">
        <v>5</v>
      </c>
      <c r="H339" s="7">
        <f>177+45+90</f>
        <v>312</v>
      </c>
      <c r="I339" s="9">
        <f t="shared" si="24"/>
        <v>240</v>
      </c>
      <c r="J339" s="10">
        <v>45662</v>
      </c>
      <c r="K339" s="10">
        <v>45671</v>
      </c>
      <c r="L339" s="11" t="s">
        <v>71</v>
      </c>
      <c r="M339" s="12">
        <f t="shared" si="25"/>
        <v>48093118.319999993</v>
      </c>
    </row>
    <row r="340" spans="1:13">
      <c r="A340" s="7">
        <v>337</v>
      </c>
      <c r="B340" s="24">
        <v>25</v>
      </c>
      <c r="C340" s="8">
        <v>3</v>
      </c>
      <c r="D340" s="8">
        <v>1</v>
      </c>
      <c r="E340" s="15">
        <v>9511</v>
      </c>
      <c r="F340" s="15">
        <v>82</v>
      </c>
      <c r="G340" s="15">
        <v>5</v>
      </c>
      <c r="H340" s="7">
        <f>140+39+83</f>
        <v>262</v>
      </c>
      <c r="I340" s="9">
        <f t="shared" si="24"/>
        <v>456</v>
      </c>
      <c r="J340" s="10">
        <v>45656</v>
      </c>
      <c r="K340" s="10">
        <v>45674</v>
      </c>
      <c r="L340" s="11" t="s">
        <v>40</v>
      </c>
      <c r="M340" s="12">
        <f>H340*154144.61-100000</f>
        <v>40285887.819999993</v>
      </c>
    </row>
    <row r="341" spans="1:13">
      <c r="A341" s="7">
        <v>338</v>
      </c>
      <c r="B341" s="24">
        <v>29</v>
      </c>
      <c r="C341" s="7">
        <v>3</v>
      </c>
      <c r="D341" s="8">
        <v>1</v>
      </c>
      <c r="E341" s="15">
        <v>4019</v>
      </c>
      <c r="F341" s="8" t="s">
        <v>25</v>
      </c>
      <c r="G341" s="8" t="s">
        <v>13</v>
      </c>
      <c r="H341" s="7">
        <f>(177)*0.9+39+29+82</f>
        <v>309.3</v>
      </c>
      <c r="I341" s="9">
        <f t="shared" si="24"/>
        <v>504</v>
      </c>
      <c r="J341" s="10">
        <v>45655</v>
      </c>
      <c r="K341" s="10">
        <v>45675</v>
      </c>
      <c r="L341" s="11" t="s">
        <v>63</v>
      </c>
      <c r="M341" s="12">
        <f>H341*154144.61-324000</f>
        <v>47352927.872999996</v>
      </c>
    </row>
    <row r="342" spans="1:13">
      <c r="A342" s="7">
        <v>339</v>
      </c>
      <c r="B342" s="24">
        <v>32</v>
      </c>
      <c r="C342" s="8">
        <v>3</v>
      </c>
      <c r="D342" s="8">
        <v>1</v>
      </c>
      <c r="E342" s="15">
        <v>6811</v>
      </c>
      <c r="F342" s="21" t="s">
        <v>39</v>
      </c>
      <c r="G342" s="21"/>
      <c r="H342" s="7">
        <f>(177)*0.9+39+29+83</f>
        <v>310.3</v>
      </c>
      <c r="I342" s="9">
        <f t="shared" si="24"/>
        <v>480</v>
      </c>
      <c r="J342" s="10">
        <v>45657</v>
      </c>
      <c r="K342" s="10">
        <v>45676</v>
      </c>
      <c r="L342" s="11" t="s">
        <v>38</v>
      </c>
      <c r="M342" s="12">
        <f t="shared" ref="M342:M347" si="26">H342*154144.61</f>
        <v>47831072.482999995</v>
      </c>
    </row>
    <row r="343" spans="1:13">
      <c r="A343" s="7">
        <v>340</v>
      </c>
      <c r="B343" s="24">
        <v>34</v>
      </c>
      <c r="C343" s="7">
        <v>3</v>
      </c>
      <c r="D343" s="8">
        <v>1</v>
      </c>
      <c r="E343" s="15">
        <v>679</v>
      </c>
      <c r="F343" s="15">
        <v>61</v>
      </c>
      <c r="G343" s="15">
        <v>1</v>
      </c>
      <c r="H343" s="7">
        <f>37+221+90</f>
        <v>348</v>
      </c>
      <c r="I343" s="9">
        <f t="shared" si="24"/>
        <v>408</v>
      </c>
      <c r="J343" s="10">
        <v>45665</v>
      </c>
      <c r="K343" s="10">
        <v>45681</v>
      </c>
      <c r="L343" s="11" t="s">
        <v>72</v>
      </c>
      <c r="M343" s="12">
        <f t="shared" si="26"/>
        <v>53642324.279999994</v>
      </c>
    </row>
    <row r="344" spans="1:13">
      <c r="A344" s="7">
        <v>341</v>
      </c>
      <c r="B344" s="24">
        <v>35</v>
      </c>
      <c r="C344" s="8">
        <v>3</v>
      </c>
      <c r="D344" s="8">
        <v>1</v>
      </c>
      <c r="E344" s="15">
        <v>4412</v>
      </c>
      <c r="F344" s="8">
        <v>61</v>
      </c>
      <c r="G344" s="8">
        <v>1</v>
      </c>
      <c r="H344" s="7">
        <f>137+77</f>
        <v>214</v>
      </c>
      <c r="I344" s="9">
        <f t="shared" si="24"/>
        <v>96</v>
      </c>
      <c r="J344" s="10">
        <v>45680</v>
      </c>
      <c r="K344" s="10">
        <v>45683</v>
      </c>
      <c r="L344" s="11" t="s">
        <v>54</v>
      </c>
      <c r="M344" s="12">
        <f t="shared" si="26"/>
        <v>32986946.539999995</v>
      </c>
    </row>
    <row r="345" spans="1:13">
      <c r="A345" s="7">
        <v>342</v>
      </c>
      <c r="B345" s="24">
        <v>31</v>
      </c>
      <c r="C345" s="7">
        <v>3</v>
      </c>
      <c r="D345" s="8">
        <v>1</v>
      </c>
      <c r="E345" s="15">
        <v>3904</v>
      </c>
      <c r="F345" s="8">
        <v>81</v>
      </c>
      <c r="G345" s="8">
        <v>5</v>
      </c>
      <c r="H345" s="7">
        <f>45+112+39+29+83</f>
        <v>308</v>
      </c>
      <c r="I345" s="9">
        <f t="shared" si="24"/>
        <v>576</v>
      </c>
      <c r="J345" s="10">
        <v>45661</v>
      </c>
      <c r="K345" s="10">
        <v>45684</v>
      </c>
      <c r="L345" s="11" t="s">
        <v>64</v>
      </c>
      <c r="M345" s="12">
        <f t="shared" si="26"/>
        <v>47476539.879999995</v>
      </c>
    </row>
    <row r="346" spans="1:13" ht="31.5">
      <c r="A346" s="7">
        <v>343</v>
      </c>
      <c r="B346" s="24">
        <v>22</v>
      </c>
      <c r="C346" s="8">
        <v>3</v>
      </c>
      <c r="D346" s="8">
        <v>1</v>
      </c>
      <c r="E346" s="15">
        <v>3046</v>
      </c>
      <c r="F346" s="8">
        <v>2</v>
      </c>
      <c r="G346" s="8">
        <v>13</v>
      </c>
      <c r="H346" s="7">
        <f>221+45+164+39+29+37+90</f>
        <v>625</v>
      </c>
      <c r="I346" s="9">
        <f t="shared" si="24"/>
        <v>1200</v>
      </c>
      <c r="J346" s="10">
        <v>45637</v>
      </c>
      <c r="K346" s="10">
        <v>45686</v>
      </c>
      <c r="L346" s="11" t="s">
        <v>75</v>
      </c>
      <c r="M346" s="12">
        <f t="shared" si="26"/>
        <v>96340381.249999985</v>
      </c>
    </row>
    <row r="347" spans="1:13">
      <c r="A347" s="7">
        <v>344</v>
      </c>
      <c r="B347" s="24">
        <v>25</v>
      </c>
      <c r="C347" s="7">
        <v>3</v>
      </c>
      <c r="D347" s="8">
        <v>1</v>
      </c>
      <c r="E347" s="15">
        <v>4449</v>
      </c>
      <c r="F347" s="8">
        <v>82</v>
      </c>
      <c r="G347" s="8">
        <v>5</v>
      </c>
      <c r="H347" s="7">
        <f>112+39+29+90</f>
        <v>270</v>
      </c>
      <c r="I347" s="9">
        <f t="shared" si="24"/>
        <v>336</v>
      </c>
      <c r="J347" s="10">
        <v>45675</v>
      </c>
      <c r="K347" s="10">
        <v>45688</v>
      </c>
      <c r="L347" s="11" t="s">
        <v>65</v>
      </c>
      <c r="M347" s="12">
        <f t="shared" si="26"/>
        <v>41619044.699999996</v>
      </c>
    </row>
    <row r="348" spans="1:13" ht="31.5">
      <c r="A348" s="7">
        <v>345</v>
      </c>
      <c r="B348" s="24">
        <v>24</v>
      </c>
      <c r="C348" s="24">
        <v>3</v>
      </c>
      <c r="D348" s="15">
        <v>2</v>
      </c>
      <c r="E348" s="15">
        <v>5762</v>
      </c>
      <c r="F348" s="8">
        <v>69</v>
      </c>
      <c r="G348" s="8">
        <v>10</v>
      </c>
      <c r="H348" s="7">
        <f>177+37+39+45+140+39+29+90</f>
        <v>596</v>
      </c>
      <c r="I348" s="9">
        <f t="shared" si="24"/>
        <v>744</v>
      </c>
      <c r="J348" s="10">
        <v>45659</v>
      </c>
      <c r="K348" s="10">
        <v>45689</v>
      </c>
      <c r="L348" s="11" t="s">
        <v>103</v>
      </c>
      <c r="M348" s="12">
        <f>H348*154144.61-100000</f>
        <v>91770187.559999987</v>
      </c>
    </row>
    <row r="349" spans="1:13">
      <c r="A349" s="7">
        <v>346</v>
      </c>
      <c r="B349" s="15">
        <v>23</v>
      </c>
      <c r="C349" s="24">
        <v>3</v>
      </c>
      <c r="D349" s="15">
        <v>2</v>
      </c>
      <c r="E349" s="7">
        <v>9110</v>
      </c>
      <c r="F349" s="8">
        <v>76</v>
      </c>
      <c r="G349" s="8">
        <v>5</v>
      </c>
      <c r="H349" s="7">
        <f>39+392+90</f>
        <v>521</v>
      </c>
      <c r="I349" s="9">
        <f t="shared" si="24"/>
        <v>456</v>
      </c>
      <c r="J349" s="10">
        <v>45676</v>
      </c>
      <c r="K349" s="10">
        <v>45694</v>
      </c>
      <c r="L349" s="11" t="s">
        <v>117</v>
      </c>
      <c r="M349" s="12">
        <f t="shared" ref="M349:M354" si="27">H349*154144.61</f>
        <v>80309341.809999987</v>
      </c>
    </row>
    <row r="350" spans="1:13">
      <c r="A350" s="7">
        <v>347</v>
      </c>
      <c r="B350" s="24">
        <v>31</v>
      </c>
      <c r="C350" s="24">
        <v>3</v>
      </c>
      <c r="D350" s="15">
        <v>2</v>
      </c>
      <c r="E350" s="15">
        <v>6002</v>
      </c>
      <c r="F350" s="15">
        <v>2</v>
      </c>
      <c r="G350" s="15">
        <v>13</v>
      </c>
      <c r="H350" s="7">
        <f>221+90</f>
        <v>311</v>
      </c>
      <c r="I350" s="9">
        <f t="shared" si="24"/>
        <v>264</v>
      </c>
      <c r="J350" s="10">
        <v>45685</v>
      </c>
      <c r="K350" s="10">
        <v>45695</v>
      </c>
      <c r="L350" s="14" t="s">
        <v>78</v>
      </c>
      <c r="M350" s="12">
        <f t="shared" si="27"/>
        <v>47938973.709999993</v>
      </c>
    </row>
    <row r="351" spans="1:13">
      <c r="A351" s="7">
        <v>348</v>
      </c>
      <c r="B351" s="24">
        <v>32</v>
      </c>
      <c r="C351" s="24">
        <v>3</v>
      </c>
      <c r="D351" s="15">
        <v>2</v>
      </c>
      <c r="E351" s="15">
        <v>3773</v>
      </c>
      <c r="F351" s="15">
        <v>2</v>
      </c>
      <c r="G351" s="15">
        <v>13</v>
      </c>
      <c r="H351" s="7">
        <f>221+29+90</f>
        <v>340</v>
      </c>
      <c r="I351" s="9">
        <f t="shared" si="24"/>
        <v>480</v>
      </c>
      <c r="J351" s="10">
        <v>45677</v>
      </c>
      <c r="K351" s="10">
        <v>45696</v>
      </c>
      <c r="L351" s="14" t="s">
        <v>79</v>
      </c>
      <c r="M351" s="12">
        <f t="shared" si="27"/>
        <v>52409167.399999999</v>
      </c>
    </row>
    <row r="352" spans="1:13">
      <c r="A352" s="7">
        <v>349</v>
      </c>
      <c r="B352" s="24">
        <v>25</v>
      </c>
      <c r="C352" s="24">
        <v>3</v>
      </c>
      <c r="D352" s="15">
        <v>2</v>
      </c>
      <c r="E352" s="15">
        <v>1164</v>
      </c>
      <c r="F352" s="8">
        <v>8</v>
      </c>
      <c r="G352" s="8">
        <v>1</v>
      </c>
      <c r="H352" s="7">
        <f>112+39+29+90</f>
        <v>270</v>
      </c>
      <c r="I352" s="9">
        <f t="shared" si="24"/>
        <v>216</v>
      </c>
      <c r="J352" s="10">
        <v>45689</v>
      </c>
      <c r="K352" s="10">
        <v>45697</v>
      </c>
      <c r="L352" s="11" t="s">
        <v>80</v>
      </c>
      <c r="M352" s="12">
        <f t="shared" si="27"/>
        <v>41619044.699999996</v>
      </c>
    </row>
    <row r="353" spans="1:13">
      <c r="A353" s="7">
        <v>350</v>
      </c>
      <c r="B353" s="24">
        <v>29</v>
      </c>
      <c r="C353" s="24">
        <v>3</v>
      </c>
      <c r="D353" s="15">
        <v>2</v>
      </c>
      <c r="E353" s="15">
        <v>9829</v>
      </c>
      <c r="F353" s="15">
        <v>68</v>
      </c>
      <c r="G353" s="15">
        <v>13</v>
      </c>
      <c r="H353" s="7">
        <f>177+39+45+29+90</f>
        <v>380</v>
      </c>
      <c r="I353" s="9">
        <f t="shared" si="24"/>
        <v>528</v>
      </c>
      <c r="J353" s="10">
        <v>45676</v>
      </c>
      <c r="K353" s="10">
        <v>45697</v>
      </c>
      <c r="L353" s="11" t="s">
        <v>107</v>
      </c>
      <c r="M353" s="12">
        <f t="shared" si="27"/>
        <v>58574951.799999997</v>
      </c>
    </row>
    <row r="354" spans="1:13" ht="15.75" customHeight="1">
      <c r="A354" s="7">
        <v>351</v>
      </c>
      <c r="B354" s="24">
        <v>26</v>
      </c>
      <c r="C354" s="24">
        <v>3</v>
      </c>
      <c r="D354" s="15">
        <v>2</v>
      </c>
      <c r="E354" s="15">
        <v>3073</v>
      </c>
      <c r="F354" s="15">
        <v>15</v>
      </c>
      <c r="G354" s="15">
        <v>13</v>
      </c>
      <c r="H354" s="7">
        <f>268+39+140+39+29+37+90</f>
        <v>642</v>
      </c>
      <c r="I354" s="9">
        <f t="shared" si="24"/>
        <v>672</v>
      </c>
      <c r="J354" s="10">
        <v>45671</v>
      </c>
      <c r="K354" s="10">
        <v>45698</v>
      </c>
      <c r="L354" s="26" t="s">
        <v>84</v>
      </c>
      <c r="M354" s="12">
        <f t="shared" si="27"/>
        <v>98960839.61999999</v>
      </c>
    </row>
    <row r="355" spans="1:13" ht="31.5">
      <c r="A355" s="7">
        <v>352</v>
      </c>
      <c r="B355" s="24">
        <v>27</v>
      </c>
      <c r="C355" s="24">
        <v>3</v>
      </c>
      <c r="D355" s="15">
        <v>2</v>
      </c>
      <c r="E355" s="15">
        <v>9616</v>
      </c>
      <c r="F355" s="15">
        <v>76</v>
      </c>
      <c r="G355" s="15">
        <v>5</v>
      </c>
      <c r="H355" s="7">
        <f>221+39+45+140+39+29+90</f>
        <v>603</v>
      </c>
      <c r="I355" s="9">
        <f t="shared" si="24"/>
        <v>744</v>
      </c>
      <c r="J355" s="10">
        <v>45669</v>
      </c>
      <c r="K355" s="10">
        <v>45699</v>
      </c>
      <c r="L355" s="26" t="s">
        <v>108</v>
      </c>
      <c r="M355" s="12">
        <f>H355*154144.61-100000</f>
        <v>92849199.829999998</v>
      </c>
    </row>
    <row r="356" spans="1:13" ht="31.5">
      <c r="A356" s="7">
        <v>353</v>
      </c>
      <c r="B356" s="24">
        <v>28</v>
      </c>
      <c r="C356" s="24">
        <v>3</v>
      </c>
      <c r="D356" s="15">
        <v>2</v>
      </c>
      <c r="E356" s="15">
        <v>7806</v>
      </c>
      <c r="F356" s="15">
        <v>8</v>
      </c>
      <c r="G356" s="15">
        <v>1</v>
      </c>
      <c r="H356" s="7">
        <f>221+39+164+39+29+83</f>
        <v>575</v>
      </c>
      <c r="I356" s="9">
        <f t="shared" si="24"/>
        <v>984</v>
      </c>
      <c r="J356" s="10">
        <v>45660</v>
      </c>
      <c r="K356" s="10">
        <v>45700</v>
      </c>
      <c r="L356" s="26" t="s">
        <v>85</v>
      </c>
      <c r="M356" s="12">
        <f>H356*154144.61-569400-569400</f>
        <v>87494350.749999985</v>
      </c>
    </row>
    <row r="357" spans="1:13">
      <c r="A357" s="7">
        <v>354</v>
      </c>
      <c r="B357" s="24">
        <v>34</v>
      </c>
      <c r="C357" s="24">
        <v>3</v>
      </c>
      <c r="D357" s="15">
        <v>2</v>
      </c>
      <c r="E357" s="15">
        <v>6105</v>
      </c>
      <c r="F357" s="15">
        <v>77</v>
      </c>
      <c r="G357" s="15">
        <v>5</v>
      </c>
      <c r="H357" s="7">
        <f>268+90</f>
        <v>358</v>
      </c>
      <c r="I357" s="9">
        <f t="shared" si="24"/>
        <v>480</v>
      </c>
      <c r="J357" s="10">
        <v>45681</v>
      </c>
      <c r="K357" s="10">
        <v>45700</v>
      </c>
      <c r="L357" s="26" t="s">
        <v>82</v>
      </c>
      <c r="M357" s="12">
        <f>H357*154144.61</f>
        <v>55183770.379999995</v>
      </c>
    </row>
    <row r="358" spans="1:13">
      <c r="A358" s="7">
        <v>355</v>
      </c>
      <c r="B358" s="24">
        <v>22</v>
      </c>
      <c r="C358" s="24">
        <v>3</v>
      </c>
      <c r="D358" s="15">
        <v>2</v>
      </c>
      <c r="E358" s="15">
        <v>2052</v>
      </c>
      <c r="F358" s="15">
        <v>11</v>
      </c>
      <c r="G358" s="15">
        <v>10</v>
      </c>
      <c r="H358" s="7">
        <f>202+29+90</f>
        <v>321</v>
      </c>
      <c r="I358" s="9">
        <f t="shared" si="24"/>
        <v>528</v>
      </c>
      <c r="J358" s="10">
        <v>45687</v>
      </c>
      <c r="K358" s="10">
        <v>45708</v>
      </c>
      <c r="L358" s="26" t="s">
        <v>104</v>
      </c>
      <c r="M358" s="12">
        <f>H358*154144.61-100000</f>
        <v>49380419.809999995</v>
      </c>
    </row>
    <row r="359" spans="1:13">
      <c r="A359" s="7">
        <v>356</v>
      </c>
      <c r="B359" s="24">
        <v>31</v>
      </c>
      <c r="C359" s="24">
        <v>3</v>
      </c>
      <c r="D359" s="15">
        <v>2</v>
      </c>
      <c r="E359" s="15">
        <v>6962</v>
      </c>
      <c r="F359" s="15">
        <v>11</v>
      </c>
      <c r="G359" s="15">
        <v>10</v>
      </c>
      <c r="H359" s="7">
        <f>234+90</f>
        <v>324</v>
      </c>
      <c r="I359" s="9">
        <f t="shared" si="24"/>
        <v>336</v>
      </c>
      <c r="J359" s="10">
        <v>45696</v>
      </c>
      <c r="K359" s="10">
        <v>45709</v>
      </c>
      <c r="L359" s="26" t="s">
        <v>22</v>
      </c>
      <c r="M359" s="12">
        <f t="shared" ref="M359:M365" si="28">H359*154144.61</f>
        <v>49942853.639999993</v>
      </c>
    </row>
    <row r="360" spans="1:13">
      <c r="A360" s="7">
        <v>357</v>
      </c>
      <c r="B360" s="24">
        <v>25</v>
      </c>
      <c r="C360" s="24">
        <v>3</v>
      </c>
      <c r="D360" s="15">
        <v>2</v>
      </c>
      <c r="E360" s="15">
        <v>7553</v>
      </c>
      <c r="F360" s="15">
        <v>80</v>
      </c>
      <c r="G360" s="15">
        <v>5</v>
      </c>
      <c r="H360" s="7">
        <f>221+39+45+90</f>
        <v>395</v>
      </c>
      <c r="I360" s="9">
        <f t="shared" si="24"/>
        <v>312</v>
      </c>
      <c r="J360" s="10">
        <v>45698</v>
      </c>
      <c r="K360" s="10">
        <v>45710</v>
      </c>
      <c r="L360" s="26" t="s">
        <v>101</v>
      </c>
      <c r="M360" s="12">
        <f t="shared" si="28"/>
        <v>60887120.949999996</v>
      </c>
    </row>
    <row r="361" spans="1:13">
      <c r="A361" s="7">
        <v>358</v>
      </c>
      <c r="B361" s="24">
        <v>33</v>
      </c>
      <c r="C361" s="24">
        <v>3</v>
      </c>
      <c r="D361" s="15">
        <v>2</v>
      </c>
      <c r="E361" s="15">
        <v>9596</v>
      </c>
      <c r="F361" s="15" t="s">
        <v>39</v>
      </c>
      <c r="G361" s="15">
        <v>1</v>
      </c>
      <c r="H361" s="7">
        <f>29+90</f>
        <v>119</v>
      </c>
      <c r="I361" s="9">
        <f t="shared" si="24"/>
        <v>936</v>
      </c>
      <c r="J361" s="10">
        <v>45672</v>
      </c>
      <c r="K361" s="10">
        <v>45710</v>
      </c>
      <c r="L361" s="26" t="s">
        <v>16</v>
      </c>
      <c r="M361" s="12">
        <f t="shared" si="28"/>
        <v>18343208.59</v>
      </c>
    </row>
    <row r="362" spans="1:13">
      <c r="A362" s="7">
        <v>359</v>
      </c>
      <c r="B362" s="24">
        <v>32</v>
      </c>
      <c r="C362" s="24">
        <v>3</v>
      </c>
      <c r="D362" s="15">
        <v>2</v>
      </c>
      <c r="E362" s="15">
        <v>7761</v>
      </c>
      <c r="F362" s="15">
        <v>68</v>
      </c>
      <c r="G362" s="15">
        <v>13</v>
      </c>
      <c r="H362" s="7">
        <f>39+234+90</f>
        <v>363</v>
      </c>
      <c r="I362" s="9">
        <f t="shared" si="24"/>
        <v>384</v>
      </c>
      <c r="J362" s="10">
        <v>45697</v>
      </c>
      <c r="K362" s="10">
        <v>45712</v>
      </c>
      <c r="L362" s="11" t="s">
        <v>109</v>
      </c>
      <c r="M362" s="12">
        <f t="shared" si="28"/>
        <v>55954493.429999992</v>
      </c>
    </row>
    <row r="363" spans="1:13">
      <c r="A363" s="7">
        <v>360</v>
      </c>
      <c r="B363" s="24">
        <v>24</v>
      </c>
      <c r="C363" s="24">
        <v>3</v>
      </c>
      <c r="D363" s="15">
        <v>2</v>
      </c>
      <c r="E363" s="15">
        <v>9429</v>
      </c>
      <c r="F363" s="15">
        <v>68</v>
      </c>
      <c r="G363" s="15">
        <v>13</v>
      </c>
      <c r="H363" s="7">
        <f>112+234+90</f>
        <v>436</v>
      </c>
      <c r="I363" s="9">
        <f t="shared" si="24"/>
        <v>576</v>
      </c>
      <c r="J363" s="10">
        <v>45690</v>
      </c>
      <c r="K363" s="10">
        <v>45713</v>
      </c>
      <c r="L363" s="26" t="s">
        <v>120</v>
      </c>
      <c r="M363" s="12">
        <f t="shared" si="28"/>
        <v>67207049.959999993</v>
      </c>
    </row>
    <row r="364" spans="1:13">
      <c r="A364" s="7">
        <v>361</v>
      </c>
      <c r="B364" s="24">
        <v>28</v>
      </c>
      <c r="C364" s="24">
        <v>3</v>
      </c>
      <c r="D364" s="15">
        <v>2</v>
      </c>
      <c r="E364" s="15">
        <v>9704</v>
      </c>
      <c r="F364" s="8">
        <v>81</v>
      </c>
      <c r="G364" s="8">
        <v>5</v>
      </c>
      <c r="H364" s="7">
        <f>140+39+83</f>
        <v>262</v>
      </c>
      <c r="I364" s="9">
        <f t="shared" si="24"/>
        <v>312</v>
      </c>
      <c r="J364" s="10">
        <v>45701</v>
      </c>
      <c r="K364" s="10">
        <v>45713</v>
      </c>
      <c r="L364" s="11" t="s">
        <v>40</v>
      </c>
      <c r="M364" s="12">
        <f t="shared" si="28"/>
        <v>40385887.819999993</v>
      </c>
    </row>
    <row r="365" spans="1:13">
      <c r="A365" s="7">
        <v>362</v>
      </c>
      <c r="B365" s="24">
        <v>23</v>
      </c>
      <c r="C365" s="24">
        <v>3</v>
      </c>
      <c r="D365" s="15">
        <v>2</v>
      </c>
      <c r="E365" s="15">
        <v>6135</v>
      </c>
      <c r="F365" s="8" t="s">
        <v>96</v>
      </c>
      <c r="G365" s="8" t="s">
        <v>13</v>
      </c>
      <c r="H365" s="7">
        <f>177+39+29+82</f>
        <v>327</v>
      </c>
      <c r="I365" s="9">
        <f t="shared" si="24"/>
        <v>480</v>
      </c>
      <c r="J365" s="10">
        <v>45695</v>
      </c>
      <c r="K365" s="10">
        <v>45714</v>
      </c>
      <c r="L365" s="26" t="s">
        <v>102</v>
      </c>
      <c r="M365" s="12">
        <f t="shared" si="28"/>
        <v>50405287.469999999</v>
      </c>
    </row>
    <row r="366" spans="1:13" ht="31.5">
      <c r="A366" s="7">
        <v>363</v>
      </c>
      <c r="B366" s="24">
        <v>29</v>
      </c>
      <c r="C366" s="24">
        <v>3</v>
      </c>
      <c r="D366" s="15">
        <v>2</v>
      </c>
      <c r="E366" s="15">
        <v>4155</v>
      </c>
      <c r="F366" s="8">
        <v>69</v>
      </c>
      <c r="G366" s="8">
        <v>10</v>
      </c>
      <c r="H366" s="7">
        <f>74+45+112+39+29+90</f>
        <v>389</v>
      </c>
      <c r="I366" s="9">
        <f t="shared" si="24"/>
        <v>312</v>
      </c>
      <c r="J366" s="10">
        <v>45702</v>
      </c>
      <c r="K366" s="10">
        <v>45714</v>
      </c>
      <c r="L366" s="11" t="s">
        <v>110</v>
      </c>
      <c r="M366" s="12">
        <f>H366*154144.61-80000</f>
        <v>59882253.289999992</v>
      </c>
    </row>
    <row r="367" spans="1:13">
      <c r="A367" s="7">
        <v>364</v>
      </c>
      <c r="B367" s="24">
        <v>33</v>
      </c>
      <c r="C367" s="24">
        <v>3</v>
      </c>
      <c r="D367" s="15">
        <v>3</v>
      </c>
      <c r="E367" s="15">
        <v>4378</v>
      </c>
      <c r="F367" s="8">
        <v>3</v>
      </c>
      <c r="G367" s="8">
        <v>1</v>
      </c>
      <c r="H367" s="7">
        <f>140+39+83</f>
        <v>262</v>
      </c>
      <c r="I367" s="9">
        <f t="shared" si="24"/>
        <v>144</v>
      </c>
      <c r="J367" s="10">
        <v>45711</v>
      </c>
      <c r="K367" s="10">
        <v>45716</v>
      </c>
      <c r="L367" s="11" t="s">
        <v>40</v>
      </c>
      <c r="M367" s="12">
        <f>H367*154144.61</f>
        <v>40385887.819999993</v>
      </c>
    </row>
    <row r="368" spans="1:13">
      <c r="A368" s="7">
        <v>365</v>
      </c>
      <c r="B368" s="15">
        <v>24</v>
      </c>
      <c r="C368" s="24">
        <v>3</v>
      </c>
      <c r="D368" s="15">
        <v>3</v>
      </c>
      <c r="E368" s="7">
        <v>6948</v>
      </c>
      <c r="F368" s="8">
        <v>76</v>
      </c>
      <c r="G368" s="8">
        <v>5</v>
      </c>
      <c r="H368" s="7">
        <f>137+29+90</f>
        <v>256</v>
      </c>
      <c r="I368" s="9">
        <f t="shared" si="24"/>
        <v>192</v>
      </c>
      <c r="J368" s="10">
        <v>45714</v>
      </c>
      <c r="K368" s="10">
        <v>45721</v>
      </c>
      <c r="L368" s="11" t="s">
        <v>124</v>
      </c>
      <c r="M368" s="12">
        <f>H368*154144.61</f>
        <v>39461020.159999996</v>
      </c>
    </row>
    <row r="369" spans="1:13">
      <c r="A369" s="7">
        <v>366</v>
      </c>
      <c r="B369" s="24">
        <v>31</v>
      </c>
      <c r="C369" s="24">
        <v>3</v>
      </c>
      <c r="D369" s="15">
        <v>3</v>
      </c>
      <c r="E369" s="15">
        <v>4004</v>
      </c>
      <c r="F369" s="15">
        <v>2</v>
      </c>
      <c r="G369" s="15">
        <v>13</v>
      </c>
      <c r="H369" s="7">
        <f>177+39+90</f>
        <v>306</v>
      </c>
      <c r="I369" s="9">
        <f t="shared" si="24"/>
        <v>312</v>
      </c>
      <c r="J369" s="10">
        <v>45710</v>
      </c>
      <c r="K369" s="10">
        <v>45722</v>
      </c>
      <c r="L369" s="27" t="s">
        <v>67</v>
      </c>
      <c r="M369" s="12">
        <f>H369*154144.61</f>
        <v>47168250.659999996</v>
      </c>
    </row>
    <row r="370" spans="1:13">
      <c r="A370" s="7">
        <v>367</v>
      </c>
      <c r="B370" s="24">
        <v>22</v>
      </c>
      <c r="C370" s="24">
        <v>3</v>
      </c>
      <c r="D370" s="15">
        <v>3</v>
      </c>
      <c r="E370" s="15">
        <v>264</v>
      </c>
      <c r="F370" s="15">
        <v>77</v>
      </c>
      <c r="G370" s="15">
        <v>5</v>
      </c>
      <c r="H370" s="7">
        <f>45+234+90</f>
        <v>369</v>
      </c>
      <c r="I370" s="9">
        <f t="shared" si="24"/>
        <v>408</v>
      </c>
      <c r="J370" s="10">
        <v>45709</v>
      </c>
      <c r="K370" s="10">
        <v>45725</v>
      </c>
      <c r="L370" s="26" t="s">
        <v>160</v>
      </c>
      <c r="M370" s="12">
        <f>H370*154144.61-80000</f>
        <v>56799361.089999996</v>
      </c>
    </row>
    <row r="371" spans="1:13">
      <c r="A371" s="7">
        <v>368</v>
      </c>
      <c r="B371" s="24">
        <v>35</v>
      </c>
      <c r="C371" s="24">
        <v>3</v>
      </c>
      <c r="D371" s="15">
        <v>3</v>
      </c>
      <c r="E371" s="15">
        <v>6619</v>
      </c>
      <c r="F371" s="8">
        <v>1</v>
      </c>
      <c r="G371" s="8">
        <v>1</v>
      </c>
      <c r="H371" s="7">
        <f>221+39+45+29+90</f>
        <v>424</v>
      </c>
      <c r="I371" s="9">
        <f t="shared" si="24"/>
        <v>1056</v>
      </c>
      <c r="J371" s="10">
        <v>45684</v>
      </c>
      <c r="K371" s="10">
        <v>45727</v>
      </c>
      <c r="L371" s="11" t="s">
        <v>166</v>
      </c>
      <c r="M371" s="12">
        <f>H371*154144.61-108000</f>
        <v>65249314.639999993</v>
      </c>
    </row>
    <row r="372" spans="1:13">
      <c r="A372" s="7">
        <v>369</v>
      </c>
      <c r="B372" s="24">
        <v>30</v>
      </c>
      <c r="C372" s="24">
        <v>3</v>
      </c>
      <c r="D372" s="15">
        <v>3</v>
      </c>
      <c r="E372" s="15">
        <v>4528</v>
      </c>
      <c r="F372" s="15" t="s">
        <v>128</v>
      </c>
      <c r="G372" s="15" t="s">
        <v>13</v>
      </c>
      <c r="H372" s="7">
        <f>268+39+82</f>
        <v>389</v>
      </c>
      <c r="I372" s="9">
        <f t="shared" si="24"/>
        <v>600</v>
      </c>
      <c r="J372" s="10">
        <v>45705</v>
      </c>
      <c r="K372" s="10">
        <v>45729</v>
      </c>
      <c r="L372" s="11" t="s">
        <v>129</v>
      </c>
      <c r="M372" s="12">
        <f t="shared" ref="M372:M379" si="29">H372*154144.61</f>
        <v>59962253.289999992</v>
      </c>
    </row>
    <row r="373" spans="1:13">
      <c r="A373" s="7">
        <v>370</v>
      </c>
      <c r="B373" s="24">
        <v>31</v>
      </c>
      <c r="C373" s="24">
        <v>3</v>
      </c>
      <c r="D373" s="15">
        <v>3</v>
      </c>
      <c r="E373" s="15">
        <v>8485</v>
      </c>
      <c r="F373" s="15" t="s">
        <v>128</v>
      </c>
      <c r="G373" s="15" t="s">
        <v>13</v>
      </c>
      <c r="H373" s="7">
        <f>29+82</f>
        <v>111</v>
      </c>
      <c r="I373" s="9">
        <f t="shared" si="24"/>
        <v>192</v>
      </c>
      <c r="J373" s="10">
        <v>45723</v>
      </c>
      <c r="K373" s="10">
        <v>45730</v>
      </c>
      <c r="L373" s="27" t="s">
        <v>205</v>
      </c>
      <c r="M373" s="12">
        <f t="shared" si="29"/>
        <v>17110051.709999997</v>
      </c>
    </row>
    <row r="374" spans="1:13">
      <c r="A374" s="7">
        <v>371</v>
      </c>
      <c r="B374" s="24">
        <v>25</v>
      </c>
      <c r="C374" s="24">
        <v>3</v>
      </c>
      <c r="D374" s="15">
        <v>3</v>
      </c>
      <c r="E374" s="15">
        <v>9782</v>
      </c>
      <c r="F374" s="15">
        <v>80</v>
      </c>
      <c r="G374" s="15">
        <v>5</v>
      </c>
      <c r="H374" s="7">
        <f>112+39+39+45+29+90</f>
        <v>354</v>
      </c>
      <c r="I374" s="9">
        <f t="shared" si="24"/>
        <v>504</v>
      </c>
      <c r="J374" s="10">
        <v>45711</v>
      </c>
      <c r="K374" s="10">
        <v>45731</v>
      </c>
      <c r="L374" s="26" t="s">
        <v>139</v>
      </c>
      <c r="M374" s="12">
        <f t="shared" si="29"/>
        <v>54567191.939999998</v>
      </c>
    </row>
    <row r="375" spans="1:13">
      <c r="A375" s="7">
        <v>372</v>
      </c>
      <c r="B375" s="24">
        <v>32</v>
      </c>
      <c r="C375" s="24">
        <v>3</v>
      </c>
      <c r="D375" s="15">
        <v>3</v>
      </c>
      <c r="E375" s="15">
        <v>2802</v>
      </c>
      <c r="F375" s="15">
        <v>92</v>
      </c>
      <c r="G375" s="15">
        <v>10</v>
      </c>
      <c r="H375" s="7">
        <f>177+39+90</f>
        <v>306</v>
      </c>
      <c r="I375" s="9">
        <f t="shared" si="24"/>
        <v>456</v>
      </c>
      <c r="J375" s="10">
        <v>45713</v>
      </c>
      <c r="K375" s="10">
        <v>45731</v>
      </c>
      <c r="L375" s="26" t="s">
        <v>67</v>
      </c>
      <c r="M375" s="12">
        <f t="shared" si="29"/>
        <v>47168250.659999996</v>
      </c>
    </row>
    <row r="376" spans="1:13" ht="31.5">
      <c r="A376" s="7">
        <v>373</v>
      </c>
      <c r="B376" s="24">
        <v>29</v>
      </c>
      <c r="C376" s="24">
        <v>3</v>
      </c>
      <c r="D376" s="15">
        <v>3</v>
      </c>
      <c r="E376" s="15">
        <v>6175</v>
      </c>
      <c r="F376" s="15">
        <v>16</v>
      </c>
      <c r="G376" s="15">
        <v>10</v>
      </c>
      <c r="H376" s="7">
        <f>140+29+39+234+39+90</f>
        <v>571</v>
      </c>
      <c r="I376" s="9">
        <f t="shared" si="24"/>
        <v>384</v>
      </c>
      <c r="J376" s="10">
        <v>45715</v>
      </c>
      <c r="K376" s="10">
        <v>45730</v>
      </c>
      <c r="L376" s="11" t="s">
        <v>140</v>
      </c>
      <c r="M376" s="12">
        <f t="shared" si="29"/>
        <v>88016572.309999987</v>
      </c>
    </row>
    <row r="377" spans="1:13">
      <c r="A377" s="7">
        <v>374</v>
      </c>
      <c r="B377" s="24">
        <v>34</v>
      </c>
      <c r="C377" s="24">
        <v>3</v>
      </c>
      <c r="D377" s="15">
        <v>3</v>
      </c>
      <c r="E377" s="15">
        <v>9026</v>
      </c>
      <c r="F377" s="15">
        <v>2</v>
      </c>
      <c r="G377" s="15">
        <v>13</v>
      </c>
      <c r="H377" s="7">
        <f>90</f>
        <v>90</v>
      </c>
      <c r="I377" s="9">
        <f t="shared" si="24"/>
        <v>792</v>
      </c>
      <c r="J377" s="10">
        <v>45701</v>
      </c>
      <c r="K377" s="10">
        <v>45733</v>
      </c>
      <c r="L377" s="11" t="s">
        <v>141</v>
      </c>
      <c r="M377" s="12">
        <f t="shared" si="29"/>
        <v>13873014.899999999</v>
      </c>
    </row>
    <row r="378" spans="1:13" ht="31.5">
      <c r="A378" s="7">
        <v>375</v>
      </c>
      <c r="B378" s="24">
        <v>28</v>
      </c>
      <c r="C378" s="24">
        <v>3</v>
      </c>
      <c r="D378" s="15">
        <v>3</v>
      </c>
      <c r="E378" s="15">
        <v>6807</v>
      </c>
      <c r="F378" s="15">
        <v>77</v>
      </c>
      <c r="G378" s="15">
        <v>5</v>
      </c>
      <c r="H378" s="7">
        <f>177+164+39+83</f>
        <v>463</v>
      </c>
      <c r="I378" s="9">
        <f t="shared" si="24"/>
        <v>528</v>
      </c>
      <c r="J378" s="10">
        <v>45714</v>
      </c>
      <c r="K378" s="10">
        <v>45735</v>
      </c>
      <c r="L378" s="26" t="s">
        <v>161</v>
      </c>
      <c r="M378" s="12">
        <f t="shared" si="29"/>
        <v>71368954.429999992</v>
      </c>
    </row>
    <row r="379" spans="1:13" ht="31.5">
      <c r="A379" s="7">
        <v>376</v>
      </c>
      <c r="B379" s="24">
        <v>27</v>
      </c>
      <c r="C379" s="24">
        <v>3</v>
      </c>
      <c r="D379" s="15">
        <v>3</v>
      </c>
      <c r="E379" s="15">
        <v>7607</v>
      </c>
      <c r="F379" s="15">
        <v>62</v>
      </c>
      <c r="G379" s="15">
        <v>1</v>
      </c>
      <c r="H379" s="7">
        <f>221+39+164+83</f>
        <v>507</v>
      </c>
      <c r="I379" s="9">
        <f t="shared" si="24"/>
        <v>864</v>
      </c>
      <c r="J379" s="10">
        <v>45700</v>
      </c>
      <c r="K379" s="10">
        <v>45735</v>
      </c>
      <c r="L379" s="11" t="s">
        <v>162</v>
      </c>
      <c r="M379" s="12">
        <f t="shared" si="29"/>
        <v>78151317.269999996</v>
      </c>
    </row>
    <row r="380" spans="1:13">
      <c r="A380" s="7">
        <v>377</v>
      </c>
      <c r="B380" s="24">
        <v>26</v>
      </c>
      <c r="C380" s="24">
        <v>3</v>
      </c>
      <c r="D380" s="15">
        <v>3</v>
      </c>
      <c r="E380" s="15">
        <v>5996</v>
      </c>
      <c r="F380" s="15" t="s">
        <v>25</v>
      </c>
      <c r="G380" s="15" t="s">
        <v>13</v>
      </c>
      <c r="H380" s="7">
        <f>39+29+82</f>
        <v>150</v>
      </c>
      <c r="I380" s="9">
        <f t="shared" si="24"/>
        <v>912</v>
      </c>
      <c r="J380" s="10">
        <v>45699</v>
      </c>
      <c r="K380" s="10">
        <v>45736</v>
      </c>
      <c r="L380" s="11" t="s">
        <v>138</v>
      </c>
      <c r="M380" s="12">
        <f>H380*154144.61-108000</f>
        <v>23013691.499999996</v>
      </c>
    </row>
    <row r="381" spans="1:13">
      <c r="A381" s="7">
        <v>378</v>
      </c>
      <c r="B381" s="24">
        <v>25</v>
      </c>
      <c r="C381" s="24">
        <v>3</v>
      </c>
      <c r="D381" s="15">
        <v>3</v>
      </c>
      <c r="E381" s="15">
        <v>6678</v>
      </c>
      <c r="F381" s="15">
        <v>65</v>
      </c>
      <c r="G381" s="15">
        <v>10</v>
      </c>
      <c r="H381" s="7">
        <f>37+39+82</f>
        <v>158</v>
      </c>
      <c r="I381" s="9">
        <f t="shared" si="24"/>
        <v>168</v>
      </c>
      <c r="J381" s="10">
        <v>45732</v>
      </c>
      <c r="K381" s="10">
        <v>45738</v>
      </c>
      <c r="L381" s="11" t="s">
        <v>53</v>
      </c>
      <c r="M381" s="12">
        <f>H381*154144.61</f>
        <v>24354848.379999999</v>
      </c>
    </row>
    <row r="382" spans="1:13">
      <c r="A382" s="7">
        <v>379</v>
      </c>
      <c r="B382" s="24">
        <v>33</v>
      </c>
      <c r="C382" s="24">
        <v>3</v>
      </c>
      <c r="D382" s="15">
        <v>3</v>
      </c>
      <c r="E382" s="15">
        <v>7797</v>
      </c>
      <c r="F382" s="15">
        <v>65</v>
      </c>
      <c r="G382" s="15">
        <v>10</v>
      </c>
      <c r="H382" s="7">
        <f>164+39+29+90</f>
        <v>322</v>
      </c>
      <c r="I382" s="9">
        <f t="shared" si="24"/>
        <v>576</v>
      </c>
      <c r="J382" s="10">
        <v>45717</v>
      </c>
      <c r="K382" s="10">
        <v>45740</v>
      </c>
      <c r="L382" s="30" t="s">
        <v>137</v>
      </c>
      <c r="M382" s="12">
        <f>H382*154144.61</f>
        <v>49634564.419999994</v>
      </c>
    </row>
    <row r="383" spans="1:13">
      <c r="A383" s="7">
        <v>380</v>
      </c>
      <c r="B383" s="24">
        <v>28</v>
      </c>
      <c r="C383" s="24">
        <v>3</v>
      </c>
      <c r="D383" s="15">
        <v>3</v>
      </c>
      <c r="E383" s="15">
        <v>7605</v>
      </c>
      <c r="F383" s="8">
        <v>66</v>
      </c>
      <c r="G383" s="8">
        <v>10</v>
      </c>
      <c r="H383" s="7">
        <f>137+29+90</f>
        <v>256</v>
      </c>
      <c r="I383" s="9">
        <f t="shared" si="24"/>
        <v>144</v>
      </c>
      <c r="J383" s="10">
        <v>45736</v>
      </c>
      <c r="K383" s="10">
        <v>45741</v>
      </c>
      <c r="L383" s="11" t="s">
        <v>124</v>
      </c>
      <c r="M383" s="12">
        <f>H383*154144.61</f>
        <v>39461020.159999996</v>
      </c>
    </row>
    <row r="384" spans="1:13">
      <c r="A384" s="7">
        <v>381</v>
      </c>
      <c r="B384" s="24">
        <v>26</v>
      </c>
      <c r="C384" s="24">
        <v>3</v>
      </c>
      <c r="D384" s="15">
        <v>3</v>
      </c>
      <c r="E384" s="15">
        <v>4016</v>
      </c>
      <c r="F384" s="8">
        <v>66</v>
      </c>
      <c r="G384" s="8">
        <v>10</v>
      </c>
      <c r="H384" s="7">
        <f>140+39+83</f>
        <v>262</v>
      </c>
      <c r="I384" s="9">
        <f t="shared" si="24"/>
        <v>144</v>
      </c>
      <c r="J384" s="10">
        <v>45737</v>
      </c>
      <c r="K384" s="10">
        <v>45742</v>
      </c>
      <c r="L384" s="11" t="s">
        <v>40</v>
      </c>
      <c r="M384" s="12">
        <f>H384*154144.61</f>
        <v>40385887.819999993</v>
      </c>
    </row>
    <row r="385" spans="1:13">
      <c r="A385" s="7">
        <v>382</v>
      </c>
      <c r="B385" s="24">
        <v>25</v>
      </c>
      <c r="C385" s="24">
        <v>3</v>
      </c>
      <c r="D385" s="15">
        <v>3</v>
      </c>
      <c r="E385" s="15">
        <v>1135</v>
      </c>
      <c r="F385" s="15" t="s">
        <v>147</v>
      </c>
      <c r="G385" s="15" t="s">
        <v>13</v>
      </c>
      <c r="H385" s="7">
        <f>221+39+37+82</f>
        <v>379</v>
      </c>
      <c r="I385" s="9">
        <f t="shared" si="24"/>
        <v>216</v>
      </c>
      <c r="J385" s="10">
        <v>45739</v>
      </c>
      <c r="K385" s="10">
        <v>45747</v>
      </c>
      <c r="L385" s="11" t="s">
        <v>159</v>
      </c>
      <c r="M385" s="12">
        <f>H385*154144.61-80000</f>
        <v>58340807.189999998</v>
      </c>
    </row>
    <row r="386" spans="1:13">
      <c r="A386" s="7">
        <v>383</v>
      </c>
      <c r="B386" s="24">
        <v>27</v>
      </c>
      <c r="C386" s="24">
        <v>3</v>
      </c>
      <c r="D386" s="15">
        <v>3</v>
      </c>
      <c r="E386" s="15">
        <v>7788</v>
      </c>
      <c r="F386" s="15" t="s">
        <v>149</v>
      </c>
      <c r="G386" s="15" t="s">
        <v>13</v>
      </c>
      <c r="H386" s="7">
        <f>137+29+77</f>
        <v>243</v>
      </c>
      <c r="I386" s="9">
        <f t="shared" si="24"/>
        <v>288</v>
      </c>
      <c r="J386" s="10">
        <v>45736</v>
      </c>
      <c r="K386" s="10">
        <v>45747</v>
      </c>
      <c r="L386" s="11" t="s">
        <v>163</v>
      </c>
      <c r="M386" s="12">
        <f>H386*154144.61-160000</f>
        <v>37297140.229999997</v>
      </c>
    </row>
    <row r="387" spans="1:13">
      <c r="A387" s="7">
        <v>384</v>
      </c>
      <c r="B387" s="24">
        <v>28</v>
      </c>
      <c r="C387" s="24">
        <v>3</v>
      </c>
      <c r="D387" s="15">
        <v>4</v>
      </c>
      <c r="E387" s="15">
        <v>3107</v>
      </c>
      <c r="F387" s="8">
        <v>66</v>
      </c>
      <c r="G387" s="8">
        <v>10</v>
      </c>
      <c r="H387" s="7">
        <f>221+45+90</f>
        <v>356</v>
      </c>
      <c r="I387" s="9">
        <f t="shared" si="24"/>
        <v>192</v>
      </c>
      <c r="J387" s="10">
        <v>45742</v>
      </c>
      <c r="K387" s="10">
        <v>45749</v>
      </c>
      <c r="L387" s="11" t="s">
        <v>148</v>
      </c>
      <c r="M387" s="12">
        <f>H387*154144.61</f>
        <v>54875481.159999996</v>
      </c>
    </row>
    <row r="388" spans="1:13">
      <c r="A388" s="7">
        <v>385</v>
      </c>
      <c r="B388" s="15">
        <v>34</v>
      </c>
      <c r="C388" s="24">
        <v>3</v>
      </c>
      <c r="D388" s="15">
        <v>4</v>
      </c>
      <c r="E388" s="7">
        <v>3080</v>
      </c>
      <c r="F388" s="8">
        <v>65</v>
      </c>
      <c r="G388" s="8">
        <v>10</v>
      </c>
      <c r="H388" s="7">
        <f>140+39+29+90</f>
        <v>298</v>
      </c>
      <c r="I388" s="9">
        <f t="shared" ref="I388:I451" si="30">(K388-J388+1)*24</f>
        <v>384</v>
      </c>
      <c r="J388" s="10">
        <v>45734</v>
      </c>
      <c r="K388" s="10">
        <v>45749</v>
      </c>
      <c r="L388" s="11" t="s">
        <v>49</v>
      </c>
      <c r="M388" s="12">
        <f>H388*154144.61</f>
        <v>45935093.779999994</v>
      </c>
    </row>
    <row r="389" spans="1:13">
      <c r="A389" s="7">
        <v>386</v>
      </c>
      <c r="B389" s="24">
        <v>35</v>
      </c>
      <c r="C389" s="24">
        <v>3</v>
      </c>
      <c r="D389" s="15">
        <v>4</v>
      </c>
      <c r="E389" s="15">
        <v>7312</v>
      </c>
      <c r="F389" s="15">
        <v>15</v>
      </c>
      <c r="G389" s="15">
        <v>13</v>
      </c>
      <c r="H389" s="7">
        <f>140+39+29+37+90</f>
        <v>335</v>
      </c>
      <c r="I389" s="9">
        <f t="shared" si="30"/>
        <v>552</v>
      </c>
      <c r="J389" s="10">
        <v>45728</v>
      </c>
      <c r="K389" s="10">
        <v>45750</v>
      </c>
      <c r="L389" s="11" t="s">
        <v>169</v>
      </c>
      <c r="M389" s="12">
        <f>H389*154144.61-100000</f>
        <v>51538444.349999994</v>
      </c>
    </row>
    <row r="390" spans="1:13" ht="31.5">
      <c r="A390" s="7">
        <v>387</v>
      </c>
      <c r="B390" s="24">
        <v>33</v>
      </c>
      <c r="C390" s="24">
        <v>3</v>
      </c>
      <c r="D390" s="15">
        <v>4</v>
      </c>
      <c r="E390" s="15">
        <v>2828</v>
      </c>
      <c r="F390" s="15">
        <v>69</v>
      </c>
      <c r="G390" s="15">
        <v>10</v>
      </c>
      <c r="H390" s="7">
        <f>74+39+37+45+90</f>
        <v>285</v>
      </c>
      <c r="I390" s="9">
        <f t="shared" si="30"/>
        <v>360</v>
      </c>
      <c r="J390" s="10">
        <v>45741</v>
      </c>
      <c r="K390" s="10">
        <v>45755</v>
      </c>
      <c r="L390" s="26" t="s">
        <v>177</v>
      </c>
      <c r="M390" s="12">
        <f>H390*154144.61</f>
        <v>43931213.849999994</v>
      </c>
    </row>
    <row r="391" spans="1:13">
      <c r="A391" s="7">
        <v>388</v>
      </c>
      <c r="B391" s="24">
        <v>27</v>
      </c>
      <c r="C391" s="24">
        <v>3</v>
      </c>
      <c r="D391" s="15">
        <v>4</v>
      </c>
      <c r="E391" s="15">
        <v>8764</v>
      </c>
      <c r="F391" s="15" t="s">
        <v>147</v>
      </c>
      <c r="G391" s="15" t="s">
        <v>13</v>
      </c>
      <c r="H391" s="7">
        <f>221+39+82</f>
        <v>342</v>
      </c>
      <c r="I391" s="9">
        <f t="shared" si="30"/>
        <v>192</v>
      </c>
      <c r="J391" s="10">
        <v>45748</v>
      </c>
      <c r="K391" s="10">
        <v>45755</v>
      </c>
      <c r="L391" s="11" t="s">
        <v>148</v>
      </c>
      <c r="M391" s="12">
        <f>H391*154144.61</f>
        <v>52717456.619999997</v>
      </c>
    </row>
    <row r="392" spans="1:13">
      <c r="A392" s="7">
        <v>389</v>
      </c>
      <c r="B392" s="24">
        <v>24</v>
      </c>
      <c r="C392" s="24">
        <v>3</v>
      </c>
      <c r="D392" s="15">
        <v>4</v>
      </c>
      <c r="E392" s="15">
        <v>6992</v>
      </c>
      <c r="F392" s="15">
        <v>15</v>
      </c>
      <c r="G392" s="15">
        <v>13</v>
      </c>
      <c r="H392" s="7">
        <f>140+39+29+83</f>
        <v>291</v>
      </c>
      <c r="I392" s="9">
        <f t="shared" si="30"/>
        <v>168</v>
      </c>
      <c r="J392" s="10">
        <v>45755</v>
      </c>
      <c r="K392" s="10">
        <v>45761</v>
      </c>
      <c r="L392" s="11" t="s">
        <v>49</v>
      </c>
      <c r="M392" s="12">
        <f>H392*154144.61</f>
        <v>44856081.509999998</v>
      </c>
    </row>
    <row r="393" spans="1:13">
      <c r="A393" s="7">
        <v>390</v>
      </c>
      <c r="B393" s="24">
        <v>31</v>
      </c>
      <c r="C393" s="24">
        <v>3</v>
      </c>
      <c r="D393" s="15">
        <v>4</v>
      </c>
      <c r="E393" s="15">
        <v>5807</v>
      </c>
      <c r="F393" s="15" t="s">
        <v>25</v>
      </c>
      <c r="G393" s="15" t="s">
        <v>13</v>
      </c>
      <c r="H393" s="7">
        <f>268+29+82</f>
        <v>379</v>
      </c>
      <c r="I393" s="9">
        <f t="shared" si="30"/>
        <v>744</v>
      </c>
      <c r="J393" s="10">
        <v>45731</v>
      </c>
      <c r="K393" s="10">
        <v>45761</v>
      </c>
      <c r="L393" s="11" t="s">
        <v>178</v>
      </c>
      <c r="M393" s="12">
        <f>H393*154144.61-432000</f>
        <v>57988807.189999998</v>
      </c>
    </row>
    <row r="394" spans="1:13">
      <c r="A394" s="7">
        <v>391</v>
      </c>
      <c r="B394" s="24">
        <v>35</v>
      </c>
      <c r="C394" s="24">
        <v>3</v>
      </c>
      <c r="D394" s="15">
        <v>4</v>
      </c>
      <c r="E394" s="15">
        <v>6023</v>
      </c>
      <c r="F394" s="15">
        <v>8</v>
      </c>
      <c r="G394" s="15">
        <v>1</v>
      </c>
      <c r="H394" s="7">
        <f>37+39+39+39+90</f>
        <v>244</v>
      </c>
      <c r="I394" s="9">
        <f t="shared" si="30"/>
        <v>384</v>
      </c>
      <c r="J394" s="10">
        <v>45751</v>
      </c>
      <c r="K394" s="10">
        <v>45766</v>
      </c>
      <c r="L394" s="26" t="s">
        <v>179</v>
      </c>
      <c r="M394" s="12">
        <f>H394*154144.61-140000-100000</f>
        <v>37371284.839999996</v>
      </c>
    </row>
    <row r="395" spans="1:13">
      <c r="A395" s="7">
        <v>392</v>
      </c>
      <c r="B395" s="24">
        <v>27</v>
      </c>
      <c r="C395" s="24">
        <v>3</v>
      </c>
      <c r="D395" s="15">
        <v>4</v>
      </c>
      <c r="E395" s="15">
        <v>5261</v>
      </c>
      <c r="F395" s="15" t="s">
        <v>25</v>
      </c>
      <c r="G395" s="15" t="s">
        <v>13</v>
      </c>
      <c r="H395" s="7">
        <f>177+39+137+77</f>
        <v>430</v>
      </c>
      <c r="I395" s="9">
        <f t="shared" si="30"/>
        <v>288</v>
      </c>
      <c r="J395" s="10">
        <v>45756</v>
      </c>
      <c r="K395" s="10">
        <v>45767</v>
      </c>
      <c r="L395" s="26" t="s">
        <v>180</v>
      </c>
      <c r="M395" s="12">
        <f>H395*154144.61-100000</f>
        <v>66182182.299999997</v>
      </c>
    </row>
    <row r="396" spans="1:13" ht="31.5">
      <c r="A396" s="7">
        <v>393</v>
      </c>
      <c r="B396" s="24">
        <v>30</v>
      </c>
      <c r="C396" s="24">
        <v>3</v>
      </c>
      <c r="D396" s="15">
        <v>4</v>
      </c>
      <c r="E396" s="15">
        <v>6623</v>
      </c>
      <c r="F396" s="15" t="s">
        <v>128</v>
      </c>
      <c r="G396" s="15" t="s">
        <v>13</v>
      </c>
      <c r="H396" s="7">
        <f>177+37+29+137+39+82</f>
        <v>501</v>
      </c>
      <c r="I396" s="9">
        <f t="shared" si="30"/>
        <v>912</v>
      </c>
      <c r="J396" s="10">
        <v>45730</v>
      </c>
      <c r="K396" s="10">
        <v>45767</v>
      </c>
      <c r="L396" s="11" t="s">
        <v>181</v>
      </c>
      <c r="M396" s="12">
        <f>H396*154144.61-80000-108000</f>
        <v>77038449.609999999</v>
      </c>
    </row>
    <row r="397" spans="1:13">
      <c r="A397" s="7">
        <v>394</v>
      </c>
      <c r="B397" s="24">
        <v>33</v>
      </c>
      <c r="C397" s="24">
        <v>3</v>
      </c>
      <c r="D397" s="15">
        <v>4</v>
      </c>
      <c r="E397" s="15">
        <v>3906</v>
      </c>
      <c r="F397" s="15">
        <v>74</v>
      </c>
      <c r="G397" s="15">
        <v>13</v>
      </c>
      <c r="H397" s="7">
        <f>221+39+45+90</f>
        <v>395</v>
      </c>
      <c r="I397" s="9">
        <f t="shared" si="30"/>
        <v>312</v>
      </c>
      <c r="J397" s="10">
        <v>45756</v>
      </c>
      <c r="K397" s="10">
        <v>45768</v>
      </c>
      <c r="L397" s="11" t="s">
        <v>182</v>
      </c>
      <c r="M397" s="12">
        <f>H397*154144.61</f>
        <v>60887120.949999996</v>
      </c>
    </row>
    <row r="398" spans="1:13">
      <c r="A398" s="7">
        <v>395</v>
      </c>
      <c r="B398" s="24">
        <v>24</v>
      </c>
      <c r="C398" s="24">
        <v>3</v>
      </c>
      <c r="D398" s="15">
        <v>4</v>
      </c>
      <c r="E398" s="15">
        <v>5536</v>
      </c>
      <c r="F398" s="15">
        <v>74</v>
      </c>
      <c r="G398" s="15">
        <v>13</v>
      </c>
      <c r="H398" s="7">
        <f>112+39+29+79</f>
        <v>259</v>
      </c>
      <c r="I398" s="9">
        <f t="shared" si="30"/>
        <v>216</v>
      </c>
      <c r="J398" s="10">
        <v>45762</v>
      </c>
      <c r="K398" s="10">
        <v>45770</v>
      </c>
      <c r="L398" s="11" t="s">
        <v>188</v>
      </c>
      <c r="M398" s="12">
        <f>H398*154144.61</f>
        <v>39923453.989999995</v>
      </c>
    </row>
    <row r="399" spans="1:13">
      <c r="A399" s="7">
        <v>396</v>
      </c>
      <c r="B399" s="24">
        <v>23</v>
      </c>
      <c r="C399" s="24">
        <v>3</v>
      </c>
      <c r="D399" s="15">
        <v>4</v>
      </c>
      <c r="E399" s="15">
        <v>2638</v>
      </c>
      <c r="F399" s="15">
        <v>92</v>
      </c>
      <c r="G399" s="15">
        <v>10</v>
      </c>
      <c r="H399" s="7">
        <f>177+90</f>
        <v>267</v>
      </c>
      <c r="I399" s="9">
        <f t="shared" si="30"/>
        <v>360</v>
      </c>
      <c r="J399" s="10">
        <v>45758</v>
      </c>
      <c r="K399" s="10">
        <v>45772</v>
      </c>
      <c r="L399" s="11" t="s">
        <v>189</v>
      </c>
      <c r="M399" s="12">
        <f>H399*154144.61-200000</f>
        <v>40956610.869999997</v>
      </c>
    </row>
    <row r="400" spans="1:13">
      <c r="A400" s="7">
        <v>397</v>
      </c>
      <c r="B400" s="24">
        <v>29</v>
      </c>
      <c r="C400" s="24">
        <v>3</v>
      </c>
      <c r="D400" s="15">
        <v>4</v>
      </c>
      <c r="E400" s="15">
        <v>3124</v>
      </c>
      <c r="F400" s="15">
        <v>16</v>
      </c>
      <c r="G400" s="15">
        <v>10</v>
      </c>
      <c r="H400" s="7">
        <f>140+39+392+90</f>
        <v>661</v>
      </c>
      <c r="I400" s="9">
        <f t="shared" si="30"/>
        <v>1032</v>
      </c>
      <c r="J400" s="10">
        <v>45731</v>
      </c>
      <c r="K400" s="10">
        <v>45773</v>
      </c>
      <c r="L400" s="11" t="s">
        <v>121</v>
      </c>
      <c r="M400" s="12">
        <f t="shared" ref="M400:M410" si="31">H400*154144.61</f>
        <v>101889587.20999999</v>
      </c>
    </row>
    <row r="401" spans="1:13">
      <c r="A401" s="7">
        <v>398</v>
      </c>
      <c r="B401" s="24">
        <v>34</v>
      </c>
      <c r="C401" s="24">
        <v>3</v>
      </c>
      <c r="D401" s="15">
        <v>4</v>
      </c>
      <c r="E401" s="15">
        <v>1077</v>
      </c>
      <c r="F401" s="15">
        <v>68</v>
      </c>
      <c r="G401" s="15">
        <v>13</v>
      </c>
      <c r="H401" s="7">
        <f>39+29+37+83</f>
        <v>188</v>
      </c>
      <c r="I401" s="9">
        <f t="shared" si="30"/>
        <v>504</v>
      </c>
      <c r="J401" s="10">
        <v>45755</v>
      </c>
      <c r="K401" s="10">
        <v>45775</v>
      </c>
      <c r="L401" s="11" t="s">
        <v>190</v>
      </c>
      <c r="M401" s="12">
        <f t="shared" si="31"/>
        <v>28979186.679999996</v>
      </c>
    </row>
    <row r="402" spans="1:13">
      <c r="A402" s="7">
        <v>399</v>
      </c>
      <c r="B402" s="24">
        <v>35</v>
      </c>
      <c r="C402" s="24">
        <v>3</v>
      </c>
      <c r="D402" s="15">
        <v>4</v>
      </c>
      <c r="E402" s="15">
        <v>6976</v>
      </c>
      <c r="F402" s="15">
        <v>65</v>
      </c>
      <c r="G402" s="15">
        <v>10</v>
      </c>
      <c r="H402" s="7">
        <f>140+39+29+79</f>
        <v>287</v>
      </c>
      <c r="I402" s="9">
        <f t="shared" si="30"/>
        <v>216</v>
      </c>
      <c r="J402" s="10">
        <v>45767</v>
      </c>
      <c r="K402" s="10">
        <v>45775</v>
      </c>
      <c r="L402" s="11" t="s">
        <v>49</v>
      </c>
      <c r="M402" s="12">
        <f t="shared" si="31"/>
        <v>44239503.069999993</v>
      </c>
    </row>
    <row r="403" spans="1:13">
      <c r="A403" s="7">
        <v>400</v>
      </c>
      <c r="B403" s="24">
        <v>27</v>
      </c>
      <c r="C403" s="24">
        <v>3</v>
      </c>
      <c r="D403" s="15">
        <v>4</v>
      </c>
      <c r="E403" s="15">
        <v>4868</v>
      </c>
      <c r="F403" s="15" t="s">
        <v>25</v>
      </c>
      <c r="G403" s="15" t="s">
        <v>13</v>
      </c>
      <c r="H403" s="7">
        <f>221+39+71</f>
        <v>331</v>
      </c>
      <c r="I403" s="9">
        <f t="shared" si="30"/>
        <v>240</v>
      </c>
      <c r="J403" s="10">
        <v>45768</v>
      </c>
      <c r="K403" s="10">
        <v>45777</v>
      </c>
      <c r="L403" s="11" t="s">
        <v>148</v>
      </c>
      <c r="M403" s="12">
        <f t="shared" si="31"/>
        <v>51021865.909999996</v>
      </c>
    </row>
    <row r="404" spans="1:13">
      <c r="A404" s="7">
        <v>401</v>
      </c>
      <c r="B404" s="24">
        <v>30</v>
      </c>
      <c r="C404" s="24">
        <v>3</v>
      </c>
      <c r="D404" s="15">
        <v>5</v>
      </c>
      <c r="E404" s="15">
        <v>3048</v>
      </c>
      <c r="F404" s="8">
        <v>15</v>
      </c>
      <c r="G404" s="8">
        <v>13</v>
      </c>
      <c r="H404" s="7">
        <f>140+39+72</f>
        <v>251</v>
      </c>
      <c r="I404" s="9">
        <f t="shared" si="30"/>
        <v>336</v>
      </c>
      <c r="J404" s="10">
        <v>45768</v>
      </c>
      <c r="K404" s="10">
        <v>45781</v>
      </c>
      <c r="L404" s="11" t="s">
        <v>40</v>
      </c>
      <c r="M404" s="12">
        <f t="shared" si="31"/>
        <v>38690297.109999999</v>
      </c>
    </row>
    <row r="405" spans="1:13" ht="15.75" customHeight="1">
      <c r="A405" s="7">
        <v>402</v>
      </c>
      <c r="B405" s="15">
        <v>22</v>
      </c>
      <c r="C405" s="24">
        <v>3</v>
      </c>
      <c r="D405" s="15">
        <v>5</v>
      </c>
      <c r="E405" s="7">
        <v>6603</v>
      </c>
      <c r="F405" s="8">
        <v>11</v>
      </c>
      <c r="G405" s="8">
        <v>10</v>
      </c>
      <c r="H405" s="7">
        <f>140+39+29+79</f>
        <v>287</v>
      </c>
      <c r="I405" s="9">
        <f t="shared" si="30"/>
        <v>336</v>
      </c>
      <c r="J405" s="10">
        <v>45770</v>
      </c>
      <c r="K405" s="10">
        <v>45783</v>
      </c>
      <c r="L405" s="11" t="s">
        <v>49</v>
      </c>
      <c r="M405" s="12">
        <f t="shared" si="31"/>
        <v>44239503.069999993</v>
      </c>
    </row>
    <row r="406" spans="1:13" ht="31.5">
      <c r="A406" s="7">
        <v>403</v>
      </c>
      <c r="B406" s="24">
        <v>28</v>
      </c>
      <c r="C406" s="24">
        <v>3</v>
      </c>
      <c r="D406" s="15">
        <v>5</v>
      </c>
      <c r="E406" s="15">
        <v>6100</v>
      </c>
      <c r="F406" s="15">
        <v>77</v>
      </c>
      <c r="G406" s="15">
        <v>5</v>
      </c>
      <c r="H406" s="7">
        <f>177+39+39+164+39+45+29+90</f>
        <v>622</v>
      </c>
      <c r="I406" s="9">
        <f t="shared" si="30"/>
        <v>768</v>
      </c>
      <c r="J406" s="10">
        <v>45753</v>
      </c>
      <c r="K406" s="10">
        <v>45784</v>
      </c>
      <c r="L406" s="11" t="s">
        <v>220</v>
      </c>
      <c r="M406" s="12">
        <f t="shared" si="31"/>
        <v>95877947.419999987</v>
      </c>
    </row>
    <row r="407" spans="1:13">
      <c r="A407" s="7">
        <v>404</v>
      </c>
      <c r="B407" s="24">
        <v>35</v>
      </c>
      <c r="C407" s="24">
        <v>3</v>
      </c>
      <c r="D407" s="15">
        <v>5</v>
      </c>
      <c r="E407" s="15">
        <v>7998</v>
      </c>
      <c r="F407" s="15">
        <v>76</v>
      </c>
      <c r="G407" s="15">
        <v>5</v>
      </c>
      <c r="H407" s="7">
        <f>57+39+72</f>
        <v>168</v>
      </c>
      <c r="I407" s="9">
        <f t="shared" si="30"/>
        <v>240</v>
      </c>
      <c r="J407" s="10">
        <v>45776</v>
      </c>
      <c r="K407" s="10">
        <v>45785</v>
      </c>
      <c r="L407" s="27" t="s">
        <v>210</v>
      </c>
      <c r="M407" s="12">
        <f t="shared" si="31"/>
        <v>25896294.479999997</v>
      </c>
    </row>
    <row r="408" spans="1:13" ht="15.75" customHeight="1">
      <c r="A408" s="7">
        <v>405</v>
      </c>
      <c r="B408" s="24">
        <v>29</v>
      </c>
      <c r="C408" s="24">
        <v>3</v>
      </c>
      <c r="D408" s="15">
        <v>5</v>
      </c>
      <c r="E408" s="15">
        <v>3841</v>
      </c>
      <c r="F408" s="15">
        <v>82</v>
      </c>
      <c r="G408" s="15">
        <v>5</v>
      </c>
      <c r="H408" s="7">
        <f>112+39+79</f>
        <v>230</v>
      </c>
      <c r="I408" s="9">
        <f t="shared" si="30"/>
        <v>216</v>
      </c>
      <c r="J408" s="10">
        <v>45779</v>
      </c>
      <c r="K408" s="10">
        <v>45787</v>
      </c>
      <c r="L408" s="11" t="s">
        <v>130</v>
      </c>
      <c r="M408" s="12">
        <f t="shared" si="31"/>
        <v>35453260.299999997</v>
      </c>
    </row>
    <row r="409" spans="1:13">
      <c r="A409" s="7">
        <v>406</v>
      </c>
      <c r="B409" s="24">
        <v>27</v>
      </c>
      <c r="C409" s="24">
        <v>3</v>
      </c>
      <c r="D409" s="15">
        <v>5</v>
      </c>
      <c r="E409" s="15">
        <v>4316</v>
      </c>
      <c r="F409" s="7" t="s">
        <v>147</v>
      </c>
      <c r="G409" s="7" t="s">
        <v>13</v>
      </c>
      <c r="H409" s="7">
        <f>221+137+39+66</f>
        <v>463</v>
      </c>
      <c r="I409" s="9">
        <f t="shared" si="30"/>
        <v>264</v>
      </c>
      <c r="J409" s="10">
        <v>45778</v>
      </c>
      <c r="K409" s="10">
        <v>45788</v>
      </c>
      <c r="L409" s="11" t="s">
        <v>213</v>
      </c>
      <c r="M409" s="12">
        <f t="shared" si="31"/>
        <v>71368954.429999992</v>
      </c>
    </row>
    <row r="410" spans="1:13">
      <c r="A410" s="7">
        <v>407</v>
      </c>
      <c r="B410" s="24">
        <v>33</v>
      </c>
      <c r="C410" s="24">
        <v>3</v>
      </c>
      <c r="D410" s="15">
        <v>5</v>
      </c>
      <c r="E410" s="15">
        <v>5022</v>
      </c>
      <c r="F410" s="15">
        <v>68</v>
      </c>
      <c r="G410" s="15">
        <v>13</v>
      </c>
      <c r="H410" s="7">
        <f>268+39+45+29+79</f>
        <v>460</v>
      </c>
      <c r="I410" s="9">
        <f t="shared" si="30"/>
        <v>552</v>
      </c>
      <c r="J410" s="10">
        <v>45769</v>
      </c>
      <c r="K410" s="10">
        <v>45791</v>
      </c>
      <c r="L410" s="11" t="s">
        <v>214</v>
      </c>
      <c r="M410" s="12">
        <f t="shared" si="31"/>
        <v>70906520.599999994</v>
      </c>
    </row>
    <row r="411" spans="1:13">
      <c r="A411" s="7">
        <v>408</v>
      </c>
      <c r="B411" s="24">
        <v>22</v>
      </c>
      <c r="C411" s="24">
        <v>3</v>
      </c>
      <c r="D411" s="15">
        <v>5</v>
      </c>
      <c r="E411" s="15">
        <v>6198</v>
      </c>
      <c r="F411" s="15">
        <v>68</v>
      </c>
      <c r="G411" s="15">
        <v>11</v>
      </c>
      <c r="H411" s="7">
        <f>140+39+72</f>
        <v>251</v>
      </c>
      <c r="I411" s="9">
        <f t="shared" si="30"/>
        <v>240</v>
      </c>
      <c r="J411" s="10">
        <v>45784</v>
      </c>
      <c r="K411" s="10">
        <v>45793</v>
      </c>
      <c r="L411" s="11" t="s">
        <v>40</v>
      </c>
      <c r="M411" s="12">
        <f>H411*154144.61-200000</f>
        <v>38490297.109999999</v>
      </c>
    </row>
    <row r="412" spans="1:13">
      <c r="A412" s="7">
        <v>409</v>
      </c>
      <c r="B412" s="24">
        <v>34</v>
      </c>
      <c r="C412" s="24">
        <v>3</v>
      </c>
      <c r="D412" s="15">
        <v>5</v>
      </c>
      <c r="E412" s="15">
        <v>4093</v>
      </c>
      <c r="F412" s="15">
        <v>60</v>
      </c>
      <c r="G412" s="15">
        <v>1</v>
      </c>
      <c r="H412" s="7">
        <f>39+57+37+72</f>
        <v>205</v>
      </c>
      <c r="I412" s="9">
        <f t="shared" si="30"/>
        <v>480</v>
      </c>
      <c r="J412" s="10">
        <v>45776</v>
      </c>
      <c r="K412" s="10">
        <v>45795</v>
      </c>
      <c r="L412" s="26" t="s">
        <v>221</v>
      </c>
      <c r="M412" s="12">
        <f>H412*154144.61</f>
        <v>31599645.049999997</v>
      </c>
    </row>
    <row r="413" spans="1:13">
      <c r="A413" s="7">
        <v>410</v>
      </c>
      <c r="B413" s="24">
        <v>29</v>
      </c>
      <c r="C413" s="24">
        <v>3</v>
      </c>
      <c r="D413" s="15">
        <v>5</v>
      </c>
      <c r="E413" s="15">
        <v>4274</v>
      </c>
      <c r="F413" s="15">
        <v>68</v>
      </c>
      <c r="G413" s="15">
        <v>13</v>
      </c>
      <c r="H413" s="7">
        <f>57+39+29+72</f>
        <v>197</v>
      </c>
      <c r="I413" s="9">
        <f t="shared" si="30"/>
        <v>216</v>
      </c>
      <c r="J413" s="10">
        <v>45788</v>
      </c>
      <c r="K413" s="10">
        <v>45796</v>
      </c>
      <c r="L413" s="11" t="s">
        <v>208</v>
      </c>
      <c r="M413" s="12">
        <f>H413*154144.61</f>
        <v>30366488.169999998</v>
      </c>
    </row>
    <row r="414" spans="1:13">
      <c r="A414" s="7">
        <v>411</v>
      </c>
      <c r="B414" s="24">
        <v>30</v>
      </c>
      <c r="C414" s="24">
        <v>3</v>
      </c>
      <c r="D414" s="15">
        <v>5</v>
      </c>
      <c r="E414" s="15">
        <v>8503</v>
      </c>
      <c r="F414" s="15">
        <v>82</v>
      </c>
      <c r="G414" s="15">
        <v>5</v>
      </c>
      <c r="H414" s="7">
        <f>45+177+112+39+29+79</f>
        <v>481</v>
      </c>
      <c r="I414" s="9">
        <f t="shared" si="30"/>
        <v>432</v>
      </c>
      <c r="J414" s="10">
        <v>45782</v>
      </c>
      <c r="K414" s="10">
        <v>45799</v>
      </c>
      <c r="L414" s="11" t="s">
        <v>247</v>
      </c>
      <c r="M414" s="12">
        <f>H414*154144.61</f>
        <v>74143557.409999996</v>
      </c>
    </row>
    <row r="415" spans="1:13">
      <c r="A415" s="7">
        <v>412</v>
      </c>
      <c r="B415" s="24">
        <v>33</v>
      </c>
      <c r="C415" s="24">
        <v>3</v>
      </c>
      <c r="D415" s="15">
        <v>5</v>
      </c>
      <c r="E415" s="15">
        <v>7630</v>
      </c>
      <c r="F415" s="15">
        <v>77</v>
      </c>
      <c r="G415" s="15">
        <v>5</v>
      </c>
      <c r="H415" s="7">
        <f>140+39+72</f>
        <v>251</v>
      </c>
      <c r="I415" s="9">
        <f t="shared" si="30"/>
        <v>216</v>
      </c>
      <c r="J415" s="10">
        <v>45792</v>
      </c>
      <c r="K415" s="10">
        <v>45800</v>
      </c>
      <c r="L415" s="11" t="s">
        <v>40</v>
      </c>
      <c r="M415" s="12">
        <f>H415*154144.61</f>
        <v>38690297.109999999</v>
      </c>
    </row>
    <row r="416" spans="1:13">
      <c r="A416" s="7">
        <v>413</v>
      </c>
      <c r="B416" s="24">
        <v>22</v>
      </c>
      <c r="C416" s="24">
        <v>3</v>
      </c>
      <c r="D416" s="15">
        <v>5</v>
      </c>
      <c r="E416" s="15">
        <v>6116</v>
      </c>
      <c r="F416" s="15">
        <v>3</v>
      </c>
      <c r="G416" s="15">
        <v>1</v>
      </c>
      <c r="H416" s="7">
        <f>112+39+29+72</f>
        <v>252</v>
      </c>
      <c r="I416" s="9">
        <f t="shared" si="30"/>
        <v>192</v>
      </c>
      <c r="J416" s="10">
        <v>45794</v>
      </c>
      <c r="K416" s="10">
        <v>45801</v>
      </c>
      <c r="L416" s="11" t="s">
        <v>80</v>
      </c>
      <c r="M416" s="12">
        <f>H416*154144.61</f>
        <v>38844441.719999999</v>
      </c>
    </row>
    <row r="417" spans="1:13">
      <c r="A417" s="7">
        <v>414</v>
      </c>
      <c r="B417" s="24">
        <v>24</v>
      </c>
      <c r="C417" s="24">
        <v>3</v>
      </c>
      <c r="D417" s="15">
        <v>5</v>
      </c>
      <c r="E417" s="15">
        <v>6268</v>
      </c>
      <c r="F417" s="15">
        <v>82</v>
      </c>
      <c r="G417" s="15">
        <v>5</v>
      </c>
      <c r="H417" s="7">
        <f>45+57+39+29+79</f>
        <v>249</v>
      </c>
      <c r="I417" s="9">
        <f t="shared" si="30"/>
        <v>384</v>
      </c>
      <c r="J417" s="10">
        <v>45787</v>
      </c>
      <c r="K417" s="10">
        <v>45802</v>
      </c>
      <c r="L417" s="11" t="s">
        <v>219</v>
      </c>
      <c r="M417" s="12">
        <f>H417*154144.61-140000</f>
        <v>38242007.889999993</v>
      </c>
    </row>
    <row r="418" spans="1:13">
      <c r="A418" s="7">
        <v>415</v>
      </c>
      <c r="B418" s="24">
        <v>26</v>
      </c>
      <c r="C418" s="24">
        <v>3</v>
      </c>
      <c r="D418" s="15">
        <v>5</v>
      </c>
      <c r="E418" s="15">
        <v>6250</v>
      </c>
      <c r="F418" s="15">
        <v>92</v>
      </c>
      <c r="G418" s="15">
        <v>10</v>
      </c>
      <c r="H418" s="7">
        <f>140+39+29+79</f>
        <v>287</v>
      </c>
      <c r="I418" s="9">
        <f t="shared" si="30"/>
        <v>264</v>
      </c>
      <c r="J418" s="10">
        <v>45793</v>
      </c>
      <c r="K418" s="10">
        <v>45803</v>
      </c>
      <c r="L418" s="11" t="s">
        <v>49</v>
      </c>
      <c r="M418" s="12">
        <f t="shared" ref="M418:M437" si="32">H418*154144.61</f>
        <v>44239503.069999993</v>
      </c>
    </row>
    <row r="419" spans="1:13">
      <c r="A419" s="7">
        <v>416</v>
      </c>
      <c r="B419" s="24">
        <v>23</v>
      </c>
      <c r="C419" s="24">
        <v>3</v>
      </c>
      <c r="D419" s="15">
        <v>5</v>
      </c>
      <c r="E419" s="15">
        <v>2849</v>
      </c>
      <c r="F419" s="15">
        <v>66</v>
      </c>
      <c r="G419" s="15">
        <v>10</v>
      </c>
      <c r="H419" s="7">
        <f>341+39+45+79</f>
        <v>504</v>
      </c>
      <c r="I419" s="9">
        <f t="shared" si="30"/>
        <v>768</v>
      </c>
      <c r="J419" s="10">
        <v>45773</v>
      </c>
      <c r="K419" s="10">
        <v>45804</v>
      </c>
      <c r="L419" s="11" t="s">
        <v>222</v>
      </c>
      <c r="M419" s="12">
        <f t="shared" si="32"/>
        <v>77688883.439999998</v>
      </c>
    </row>
    <row r="420" spans="1:13">
      <c r="A420" s="7">
        <v>417</v>
      </c>
      <c r="B420" s="24">
        <v>25</v>
      </c>
      <c r="C420" s="24">
        <v>3</v>
      </c>
      <c r="D420" s="15">
        <v>5</v>
      </c>
      <c r="E420" s="15">
        <v>8000</v>
      </c>
      <c r="F420" s="7" t="s">
        <v>223</v>
      </c>
      <c r="G420" s="7" t="s">
        <v>13</v>
      </c>
      <c r="H420" s="7">
        <f>140+39+71</f>
        <v>250</v>
      </c>
      <c r="I420" s="9">
        <f t="shared" si="30"/>
        <v>600</v>
      </c>
      <c r="J420" s="10">
        <v>45783</v>
      </c>
      <c r="K420" s="10">
        <v>45807</v>
      </c>
      <c r="L420" s="11" t="s">
        <v>40</v>
      </c>
      <c r="M420" s="12">
        <f t="shared" si="32"/>
        <v>38536152.5</v>
      </c>
    </row>
    <row r="421" spans="1:13" ht="31.5">
      <c r="A421" s="7">
        <v>418</v>
      </c>
      <c r="B421" s="24">
        <v>31</v>
      </c>
      <c r="C421" s="24">
        <v>3</v>
      </c>
      <c r="D421" s="15">
        <v>5</v>
      </c>
      <c r="E421" s="15">
        <v>5253</v>
      </c>
      <c r="F421" s="15">
        <v>80</v>
      </c>
      <c r="G421" s="15">
        <v>5</v>
      </c>
      <c r="H421" s="7">
        <f>268+39+45+164+39+29+79</f>
        <v>663</v>
      </c>
      <c r="I421" s="9">
        <f t="shared" si="30"/>
        <v>1128</v>
      </c>
      <c r="J421" s="10">
        <v>45762</v>
      </c>
      <c r="K421" s="10">
        <v>45808</v>
      </c>
      <c r="L421" s="11" t="s">
        <v>224</v>
      </c>
      <c r="M421" s="12">
        <f t="shared" si="32"/>
        <v>102197876.42999999</v>
      </c>
    </row>
    <row r="422" spans="1:13">
      <c r="A422" s="7">
        <v>419</v>
      </c>
      <c r="B422" s="24">
        <v>32</v>
      </c>
      <c r="C422" s="24">
        <v>3</v>
      </c>
      <c r="D422" s="15">
        <v>5</v>
      </c>
      <c r="E422" s="15">
        <v>7246</v>
      </c>
      <c r="F422" s="7" t="s">
        <v>223</v>
      </c>
      <c r="G422" s="7" t="s">
        <v>13</v>
      </c>
      <c r="H422" s="7">
        <f>341+39+29+82</f>
        <v>491</v>
      </c>
      <c r="I422" s="9">
        <f t="shared" si="30"/>
        <v>1224</v>
      </c>
      <c r="J422" s="10">
        <v>45757</v>
      </c>
      <c r="K422" s="10">
        <v>45807</v>
      </c>
      <c r="L422" s="11" t="s">
        <v>225</v>
      </c>
      <c r="M422" s="12">
        <f t="shared" si="32"/>
        <v>75685003.50999999</v>
      </c>
    </row>
    <row r="423" spans="1:13">
      <c r="A423" s="7">
        <v>420</v>
      </c>
      <c r="B423" s="24">
        <v>28</v>
      </c>
      <c r="C423" s="24">
        <v>3</v>
      </c>
      <c r="D423" s="15">
        <v>6</v>
      </c>
      <c r="E423" s="15">
        <v>9881</v>
      </c>
      <c r="F423" s="8">
        <v>11</v>
      </c>
      <c r="G423" s="8">
        <v>10</v>
      </c>
      <c r="H423" s="7">
        <f>177+234+37+79</f>
        <v>527</v>
      </c>
      <c r="I423" s="9">
        <f t="shared" si="30"/>
        <v>720</v>
      </c>
      <c r="J423" s="10">
        <v>45785</v>
      </c>
      <c r="K423" s="10">
        <v>45814</v>
      </c>
      <c r="L423" s="11" t="s">
        <v>255</v>
      </c>
      <c r="M423" s="12">
        <f t="shared" si="32"/>
        <v>81234209.469999999</v>
      </c>
    </row>
    <row r="424" spans="1:13" ht="16.5">
      <c r="A424" s="7">
        <v>421</v>
      </c>
      <c r="B424" s="15">
        <v>25</v>
      </c>
      <c r="C424" s="24">
        <v>3</v>
      </c>
      <c r="D424" s="15">
        <v>6</v>
      </c>
      <c r="E424" s="7">
        <v>9623</v>
      </c>
      <c r="F424" s="17" t="s">
        <v>25</v>
      </c>
      <c r="G424" s="17" t="s">
        <v>13</v>
      </c>
      <c r="H424" s="7">
        <f>140+39+71</f>
        <v>250</v>
      </c>
      <c r="I424" s="9">
        <f t="shared" si="30"/>
        <v>264</v>
      </c>
      <c r="J424" s="10">
        <v>45811</v>
      </c>
      <c r="K424" s="10">
        <v>45821</v>
      </c>
      <c r="L424" s="11" t="s">
        <v>49</v>
      </c>
      <c r="M424" s="12">
        <f t="shared" si="32"/>
        <v>38536152.5</v>
      </c>
    </row>
    <row r="425" spans="1:13">
      <c r="A425" s="7">
        <v>422</v>
      </c>
      <c r="B425" s="24">
        <v>31</v>
      </c>
      <c r="C425" s="24">
        <v>3</v>
      </c>
      <c r="D425" s="15">
        <v>6</v>
      </c>
      <c r="E425" s="15">
        <v>6260</v>
      </c>
      <c r="F425" s="15">
        <v>3</v>
      </c>
      <c r="G425" s="15">
        <v>1</v>
      </c>
      <c r="H425" s="7">
        <f>112+39+29+79</f>
        <v>259</v>
      </c>
      <c r="I425" s="9">
        <f t="shared" si="30"/>
        <v>360</v>
      </c>
      <c r="J425" s="10">
        <v>45807</v>
      </c>
      <c r="K425" s="10">
        <v>45821</v>
      </c>
      <c r="L425" s="11" t="s">
        <v>80</v>
      </c>
      <c r="M425" s="12">
        <f t="shared" si="32"/>
        <v>39923453.989999995</v>
      </c>
    </row>
    <row r="426" spans="1:13">
      <c r="A426" s="7">
        <v>423</v>
      </c>
      <c r="B426" s="24">
        <v>23</v>
      </c>
      <c r="C426" s="24">
        <v>3</v>
      </c>
      <c r="D426" s="15">
        <v>6</v>
      </c>
      <c r="E426" s="15">
        <v>1144</v>
      </c>
      <c r="F426" s="15">
        <v>60</v>
      </c>
      <c r="G426" s="15">
        <v>1</v>
      </c>
      <c r="H426" s="7">
        <f>177+39+79</f>
        <v>295</v>
      </c>
      <c r="I426" s="9">
        <f t="shared" si="30"/>
        <v>432</v>
      </c>
      <c r="J426" s="10">
        <v>45805</v>
      </c>
      <c r="K426" s="10">
        <v>45822</v>
      </c>
      <c r="L426" s="11" t="s">
        <v>271</v>
      </c>
      <c r="M426" s="12">
        <f t="shared" si="32"/>
        <v>45472659.949999996</v>
      </c>
    </row>
    <row r="427" spans="1:13">
      <c r="A427" s="7">
        <v>424</v>
      </c>
      <c r="B427" s="24">
        <v>34</v>
      </c>
      <c r="C427" s="24">
        <v>3</v>
      </c>
      <c r="D427" s="15">
        <v>6</v>
      </c>
      <c r="E427" s="15">
        <v>9867</v>
      </c>
      <c r="F427" s="15">
        <v>15</v>
      </c>
      <c r="G427" s="15">
        <v>13</v>
      </c>
      <c r="H427" s="7">
        <f>177+39+45+79</f>
        <v>340</v>
      </c>
      <c r="I427" s="9">
        <f t="shared" si="30"/>
        <v>720</v>
      </c>
      <c r="J427" s="10">
        <v>45796</v>
      </c>
      <c r="K427" s="10">
        <v>45825</v>
      </c>
      <c r="L427" s="11" t="s">
        <v>463</v>
      </c>
      <c r="M427" s="12">
        <f t="shared" si="32"/>
        <v>52409167.399999999</v>
      </c>
    </row>
    <row r="428" spans="1:13">
      <c r="A428" s="7">
        <v>425</v>
      </c>
      <c r="B428" s="24">
        <v>32</v>
      </c>
      <c r="C428" s="24">
        <v>3</v>
      </c>
      <c r="D428" s="15">
        <v>6</v>
      </c>
      <c r="E428" s="15">
        <v>6065</v>
      </c>
      <c r="F428" s="7">
        <v>3</v>
      </c>
      <c r="G428" s="7">
        <v>1</v>
      </c>
      <c r="H428" s="7">
        <f>392+29+79</f>
        <v>500</v>
      </c>
      <c r="I428" s="9">
        <f t="shared" si="30"/>
        <v>480</v>
      </c>
      <c r="J428" s="10">
        <v>45807</v>
      </c>
      <c r="K428" s="10">
        <v>45826</v>
      </c>
      <c r="L428" s="11" t="s">
        <v>198</v>
      </c>
      <c r="M428" s="12">
        <f t="shared" si="32"/>
        <v>77072305</v>
      </c>
    </row>
    <row r="429" spans="1:13" ht="31.5">
      <c r="A429" s="7">
        <v>426</v>
      </c>
      <c r="B429" s="24">
        <v>33</v>
      </c>
      <c r="C429" s="24">
        <v>3</v>
      </c>
      <c r="D429" s="15">
        <v>6</v>
      </c>
      <c r="E429" s="15">
        <v>6989</v>
      </c>
      <c r="F429" s="15">
        <v>15</v>
      </c>
      <c r="G429" s="15">
        <v>13</v>
      </c>
      <c r="H429" s="7">
        <f>221+164+39+29+79</f>
        <v>532</v>
      </c>
      <c r="I429" s="9">
        <f t="shared" si="30"/>
        <v>672</v>
      </c>
      <c r="J429" s="10">
        <v>45801</v>
      </c>
      <c r="K429" s="10">
        <v>45828</v>
      </c>
      <c r="L429" s="11" t="s">
        <v>289</v>
      </c>
      <c r="M429" s="12">
        <f t="shared" si="32"/>
        <v>82004932.519999996</v>
      </c>
    </row>
    <row r="430" spans="1:13" ht="31.5">
      <c r="A430" s="7">
        <v>427</v>
      </c>
      <c r="B430" s="24">
        <v>35</v>
      </c>
      <c r="C430" s="24">
        <v>3</v>
      </c>
      <c r="D430" s="15">
        <v>6</v>
      </c>
      <c r="E430" s="15">
        <v>3794</v>
      </c>
      <c r="F430" s="15">
        <v>80</v>
      </c>
      <c r="G430" s="15">
        <v>5</v>
      </c>
      <c r="H430" s="7">
        <f>221+39+392+29+79</f>
        <v>760</v>
      </c>
      <c r="I430" s="9">
        <f t="shared" si="30"/>
        <v>1104</v>
      </c>
      <c r="J430" s="10">
        <v>45786</v>
      </c>
      <c r="K430" s="10">
        <v>45831</v>
      </c>
      <c r="L430" s="11" t="s">
        <v>272</v>
      </c>
      <c r="M430" s="12">
        <f t="shared" si="32"/>
        <v>117149903.59999999</v>
      </c>
    </row>
    <row r="431" spans="1:13">
      <c r="A431" s="7">
        <v>428</v>
      </c>
      <c r="B431" s="24">
        <v>31</v>
      </c>
      <c r="C431" s="24">
        <v>3</v>
      </c>
      <c r="D431" s="15">
        <v>6</v>
      </c>
      <c r="E431" s="15">
        <v>4769</v>
      </c>
      <c r="F431" s="15">
        <v>77</v>
      </c>
      <c r="G431" s="15">
        <v>5</v>
      </c>
      <c r="H431" s="7">
        <f>177+39+79</f>
        <v>295</v>
      </c>
      <c r="I431" s="9">
        <f t="shared" si="30"/>
        <v>240</v>
      </c>
      <c r="J431" s="10">
        <v>45823</v>
      </c>
      <c r="K431" s="10">
        <v>45832</v>
      </c>
      <c r="L431" s="26" t="s">
        <v>271</v>
      </c>
      <c r="M431" s="12">
        <f t="shared" si="32"/>
        <v>45472659.949999996</v>
      </c>
    </row>
    <row r="432" spans="1:13">
      <c r="A432" s="7">
        <v>429</v>
      </c>
      <c r="B432" s="24">
        <v>24</v>
      </c>
      <c r="C432" s="24">
        <v>3</v>
      </c>
      <c r="D432" s="15">
        <v>6</v>
      </c>
      <c r="E432" s="15">
        <v>4197</v>
      </c>
      <c r="F432" s="15">
        <v>76</v>
      </c>
      <c r="G432" s="15">
        <v>5</v>
      </c>
      <c r="H432" s="7">
        <f>140+39+72</f>
        <v>251</v>
      </c>
      <c r="I432" s="9">
        <f t="shared" si="30"/>
        <v>288</v>
      </c>
      <c r="J432" s="10">
        <v>45822</v>
      </c>
      <c r="K432" s="10">
        <v>45833</v>
      </c>
      <c r="L432" s="11" t="s">
        <v>40</v>
      </c>
      <c r="M432" s="12">
        <f t="shared" si="32"/>
        <v>38690297.109999999</v>
      </c>
    </row>
    <row r="433" spans="1:13" ht="31.5">
      <c r="A433" s="7">
        <v>430</v>
      </c>
      <c r="B433" s="24">
        <v>29</v>
      </c>
      <c r="C433" s="24">
        <v>3</v>
      </c>
      <c r="D433" s="15">
        <v>6</v>
      </c>
      <c r="E433" s="15">
        <v>2530</v>
      </c>
      <c r="F433" s="15">
        <v>77</v>
      </c>
      <c r="G433" s="15">
        <v>5</v>
      </c>
      <c r="H433" s="7">
        <f>268+39+112+39+29+37+79</f>
        <v>603</v>
      </c>
      <c r="I433" s="9">
        <f t="shared" si="30"/>
        <v>912</v>
      </c>
      <c r="J433" s="10">
        <v>45797</v>
      </c>
      <c r="K433" s="10">
        <v>45834</v>
      </c>
      <c r="L433" s="11" t="s">
        <v>273</v>
      </c>
      <c r="M433" s="12">
        <f t="shared" si="32"/>
        <v>92949199.829999998</v>
      </c>
    </row>
    <row r="434" spans="1:13" ht="16.5">
      <c r="A434" s="7">
        <v>431</v>
      </c>
      <c r="B434" s="24">
        <v>34</v>
      </c>
      <c r="C434" s="24">
        <v>3</v>
      </c>
      <c r="D434" s="15">
        <v>6</v>
      </c>
      <c r="E434" s="15">
        <v>8102</v>
      </c>
      <c r="F434" s="17" t="s">
        <v>149</v>
      </c>
      <c r="G434" s="17" t="s">
        <v>13</v>
      </c>
      <c r="H434" s="7">
        <f>202+39+71</f>
        <v>312</v>
      </c>
      <c r="I434" s="9">
        <f t="shared" si="30"/>
        <v>288</v>
      </c>
      <c r="J434" s="10">
        <v>45825</v>
      </c>
      <c r="K434" s="10">
        <v>45836</v>
      </c>
      <c r="L434" s="26" t="s">
        <v>270</v>
      </c>
      <c r="M434" s="12">
        <f t="shared" si="32"/>
        <v>48093118.319999993</v>
      </c>
    </row>
    <row r="435" spans="1:13">
      <c r="A435" s="7">
        <v>432</v>
      </c>
      <c r="B435" s="7">
        <v>7</v>
      </c>
      <c r="C435" s="24">
        <v>3</v>
      </c>
      <c r="D435" s="15">
        <v>6</v>
      </c>
      <c r="E435" s="7">
        <v>7451</v>
      </c>
      <c r="F435" s="8">
        <v>77</v>
      </c>
      <c r="G435" s="8">
        <v>5</v>
      </c>
      <c r="H435" s="7">
        <f>392+29+79</f>
        <v>500</v>
      </c>
      <c r="I435" s="15">
        <f t="shared" si="30"/>
        <v>432</v>
      </c>
      <c r="J435" s="10">
        <v>45821</v>
      </c>
      <c r="K435" s="10">
        <v>45838</v>
      </c>
      <c r="L435" s="11" t="s">
        <v>198</v>
      </c>
      <c r="M435" s="12">
        <f t="shared" si="32"/>
        <v>77072305</v>
      </c>
    </row>
    <row r="436" spans="1:13">
      <c r="A436" s="7">
        <v>433</v>
      </c>
      <c r="B436" s="7">
        <v>27</v>
      </c>
      <c r="C436" s="24">
        <v>3</v>
      </c>
      <c r="D436" s="15">
        <v>6</v>
      </c>
      <c r="E436" s="7">
        <v>6312</v>
      </c>
      <c r="F436" s="8" t="s">
        <v>128</v>
      </c>
      <c r="G436" s="8" t="s">
        <v>13</v>
      </c>
      <c r="H436" s="7">
        <f>39+29+71</f>
        <v>139</v>
      </c>
      <c r="I436" s="15">
        <f t="shared" si="30"/>
        <v>1200</v>
      </c>
      <c r="J436" s="10">
        <v>45789</v>
      </c>
      <c r="K436" s="10">
        <v>45838</v>
      </c>
      <c r="L436" s="11" t="s">
        <v>274</v>
      </c>
      <c r="M436" s="12">
        <f t="shared" si="32"/>
        <v>21426100.789999999</v>
      </c>
    </row>
    <row r="437" spans="1:13">
      <c r="A437" s="7">
        <v>434</v>
      </c>
      <c r="B437" s="24">
        <v>33</v>
      </c>
      <c r="C437" s="24">
        <v>3</v>
      </c>
      <c r="D437" s="15">
        <v>7</v>
      </c>
      <c r="E437" s="15">
        <v>4082</v>
      </c>
      <c r="F437" s="8">
        <v>8</v>
      </c>
      <c r="G437" s="8">
        <v>1</v>
      </c>
      <c r="H437" s="7">
        <f>140+39+37+72</f>
        <v>288</v>
      </c>
      <c r="I437" s="9">
        <f t="shared" si="30"/>
        <v>288</v>
      </c>
      <c r="J437" s="10">
        <v>45829</v>
      </c>
      <c r="K437" s="10">
        <v>45840</v>
      </c>
      <c r="L437" s="11" t="s">
        <v>62</v>
      </c>
      <c r="M437" s="12">
        <f t="shared" si="32"/>
        <v>44393647.679999992</v>
      </c>
    </row>
    <row r="438" spans="1:13" ht="31.5">
      <c r="A438" s="7">
        <v>435</v>
      </c>
      <c r="B438" s="24">
        <v>30</v>
      </c>
      <c r="C438" s="24">
        <v>3</v>
      </c>
      <c r="D438" s="15">
        <v>7</v>
      </c>
      <c r="E438" s="15">
        <v>5579</v>
      </c>
      <c r="F438" s="15">
        <v>59</v>
      </c>
      <c r="G438" s="15">
        <v>10</v>
      </c>
      <c r="H438" s="7">
        <f>177+140+39+37+79</f>
        <v>472</v>
      </c>
      <c r="I438" s="9">
        <f t="shared" si="30"/>
        <v>408</v>
      </c>
      <c r="J438" s="10">
        <v>45830</v>
      </c>
      <c r="K438" s="10">
        <v>45846</v>
      </c>
      <c r="L438" s="11" t="s">
        <v>311</v>
      </c>
      <c r="M438" s="12">
        <f>H438*154144.61-100000</f>
        <v>72656255.919999987</v>
      </c>
    </row>
    <row r="439" spans="1:13">
      <c r="A439" s="7">
        <v>436</v>
      </c>
      <c r="B439" s="24">
        <v>32</v>
      </c>
      <c r="C439" s="24">
        <v>3</v>
      </c>
      <c r="D439" s="15">
        <v>7</v>
      </c>
      <c r="E439" s="15">
        <v>4382</v>
      </c>
      <c r="F439" s="15">
        <v>60</v>
      </c>
      <c r="G439" s="15">
        <v>1</v>
      </c>
      <c r="H439" s="7">
        <f>140+234+79</f>
        <v>453</v>
      </c>
      <c r="I439" s="9">
        <f t="shared" si="30"/>
        <v>504</v>
      </c>
      <c r="J439" s="10">
        <v>45827</v>
      </c>
      <c r="K439" s="10">
        <v>45847</v>
      </c>
      <c r="L439" s="11" t="s">
        <v>312</v>
      </c>
      <c r="M439" s="12">
        <f>H439*154144.61</f>
        <v>69827508.329999998</v>
      </c>
    </row>
    <row r="440" spans="1:13">
      <c r="A440" s="7">
        <v>437</v>
      </c>
      <c r="B440" s="24">
        <v>24</v>
      </c>
      <c r="C440" s="24">
        <v>3</v>
      </c>
      <c r="D440" s="15">
        <v>7</v>
      </c>
      <c r="E440" s="15">
        <v>322</v>
      </c>
      <c r="F440" s="15">
        <v>11</v>
      </c>
      <c r="G440" s="15">
        <v>10</v>
      </c>
      <c r="H440" s="7">
        <f>221+39+45+37+79</f>
        <v>421</v>
      </c>
      <c r="I440" s="9">
        <f t="shared" si="30"/>
        <v>384</v>
      </c>
      <c r="J440" s="10">
        <v>45834</v>
      </c>
      <c r="K440" s="10">
        <v>45849</v>
      </c>
      <c r="L440" s="11" t="s">
        <v>304</v>
      </c>
      <c r="M440" s="12">
        <f>H440*154144.61</f>
        <v>64894880.809999995</v>
      </c>
    </row>
    <row r="441" spans="1:13">
      <c r="A441" s="7">
        <v>438</v>
      </c>
      <c r="B441" s="24">
        <v>28</v>
      </c>
      <c r="C441" s="24">
        <v>3</v>
      </c>
      <c r="D441" s="15">
        <v>7</v>
      </c>
      <c r="E441" s="15">
        <v>2727</v>
      </c>
      <c r="F441" s="7">
        <v>68</v>
      </c>
      <c r="G441" s="7">
        <v>13</v>
      </c>
      <c r="H441" s="7">
        <f>341+39+45+79</f>
        <v>504</v>
      </c>
      <c r="I441" s="9">
        <f t="shared" si="30"/>
        <v>1056</v>
      </c>
      <c r="J441" s="10">
        <v>45815</v>
      </c>
      <c r="K441" s="10">
        <v>45858</v>
      </c>
      <c r="L441" s="11" t="s">
        <v>222</v>
      </c>
      <c r="M441" s="12">
        <f>H441*154144.61</f>
        <v>77688883.439999998</v>
      </c>
    </row>
    <row r="442" spans="1:13">
      <c r="A442" s="7">
        <v>439</v>
      </c>
      <c r="B442" s="24">
        <v>27</v>
      </c>
      <c r="C442" s="24">
        <v>3</v>
      </c>
      <c r="D442" s="15">
        <v>7</v>
      </c>
      <c r="E442" s="15">
        <v>9887</v>
      </c>
      <c r="F442" s="15">
        <v>2</v>
      </c>
      <c r="G442" s="15">
        <v>13</v>
      </c>
      <c r="H442" s="7">
        <f>177+39+112+29+79</f>
        <v>436</v>
      </c>
      <c r="I442" s="9">
        <f t="shared" si="30"/>
        <v>480</v>
      </c>
      <c r="J442" s="10">
        <v>45839</v>
      </c>
      <c r="K442" s="10">
        <v>45858</v>
      </c>
      <c r="L442" s="11" t="s">
        <v>313</v>
      </c>
      <c r="M442" s="12">
        <f>H442*154144.61-200000</f>
        <v>67007049.959999993</v>
      </c>
    </row>
    <row r="443" spans="1:13" ht="16.5">
      <c r="A443" s="7">
        <v>440</v>
      </c>
      <c r="B443" s="24">
        <v>29</v>
      </c>
      <c r="C443" s="24">
        <v>3</v>
      </c>
      <c r="D443" s="15">
        <v>7</v>
      </c>
      <c r="E443" s="15">
        <v>6621</v>
      </c>
      <c r="F443" s="15">
        <v>1</v>
      </c>
      <c r="G443" s="15">
        <v>1</v>
      </c>
      <c r="H443" s="7">
        <f>39+39+392+29+79</f>
        <v>578</v>
      </c>
      <c r="I443" s="9">
        <f t="shared" si="30"/>
        <v>600</v>
      </c>
      <c r="J443" s="10">
        <v>45835</v>
      </c>
      <c r="K443" s="10">
        <v>45859</v>
      </c>
      <c r="L443" s="19" t="s">
        <v>314</v>
      </c>
      <c r="M443" s="12">
        <f t="shared" ref="M443:M474" si="33">H443*154144.61</f>
        <v>89095584.579999998</v>
      </c>
    </row>
    <row r="444" spans="1:13">
      <c r="A444" s="7">
        <v>441</v>
      </c>
      <c r="B444" s="24">
        <v>31</v>
      </c>
      <c r="C444" s="24">
        <v>3</v>
      </c>
      <c r="D444" s="15">
        <v>7</v>
      </c>
      <c r="E444" s="15">
        <v>3143</v>
      </c>
      <c r="F444" s="15">
        <v>8</v>
      </c>
      <c r="G444" s="15">
        <v>1</v>
      </c>
      <c r="H444" s="7">
        <f>39+39+392+29+79</f>
        <v>578</v>
      </c>
      <c r="I444" s="9">
        <f t="shared" si="30"/>
        <v>648</v>
      </c>
      <c r="J444" s="10">
        <v>45833</v>
      </c>
      <c r="K444" s="10">
        <v>45859</v>
      </c>
      <c r="L444" s="26" t="s">
        <v>314</v>
      </c>
      <c r="M444" s="12">
        <f t="shared" si="33"/>
        <v>89095584.579999998</v>
      </c>
    </row>
    <row r="445" spans="1:13">
      <c r="A445" s="7">
        <v>442</v>
      </c>
      <c r="B445" s="24">
        <v>26</v>
      </c>
      <c r="C445" s="24">
        <v>3</v>
      </c>
      <c r="D445" s="15">
        <v>7</v>
      </c>
      <c r="E445" s="15">
        <v>3477</v>
      </c>
      <c r="F445" s="15">
        <v>8</v>
      </c>
      <c r="G445" s="15">
        <v>1</v>
      </c>
      <c r="H445" s="7">
        <f>39+112+29+37+79</f>
        <v>296</v>
      </c>
      <c r="I445" s="9">
        <f t="shared" si="30"/>
        <v>336</v>
      </c>
      <c r="J445" s="10">
        <v>45847</v>
      </c>
      <c r="K445" s="10">
        <v>45860</v>
      </c>
      <c r="L445" s="11" t="s">
        <v>315</v>
      </c>
      <c r="M445" s="12">
        <f t="shared" si="33"/>
        <v>45626804.559999995</v>
      </c>
    </row>
    <row r="446" spans="1:13">
      <c r="A446" s="7">
        <v>443</v>
      </c>
      <c r="B446" s="24">
        <v>25</v>
      </c>
      <c r="C446" s="24">
        <v>3</v>
      </c>
      <c r="D446" s="15">
        <v>7</v>
      </c>
      <c r="E446" s="15">
        <v>4546</v>
      </c>
      <c r="F446" s="22" t="s">
        <v>25</v>
      </c>
      <c r="G446" s="22" t="s">
        <v>13</v>
      </c>
      <c r="H446" s="7">
        <f>177+39+71</f>
        <v>287</v>
      </c>
      <c r="I446" s="9">
        <f t="shared" si="30"/>
        <v>192</v>
      </c>
      <c r="J446" s="10">
        <v>45854</v>
      </c>
      <c r="K446" s="10">
        <v>45861</v>
      </c>
      <c r="L446" s="11" t="s">
        <v>300</v>
      </c>
      <c r="M446" s="12">
        <f t="shared" si="33"/>
        <v>44239503.069999993</v>
      </c>
    </row>
    <row r="447" spans="1:13" ht="16.5">
      <c r="A447" s="7">
        <v>444</v>
      </c>
      <c r="B447" s="24">
        <v>33</v>
      </c>
      <c r="C447" s="24">
        <v>3</v>
      </c>
      <c r="D447" s="15">
        <v>7</v>
      </c>
      <c r="E447" s="15">
        <v>3824</v>
      </c>
      <c r="F447" s="17">
        <v>81</v>
      </c>
      <c r="G447" s="17">
        <v>5</v>
      </c>
      <c r="H447" s="7">
        <f>177+234+79</f>
        <v>490</v>
      </c>
      <c r="I447" s="9">
        <f t="shared" si="30"/>
        <v>552</v>
      </c>
      <c r="J447" s="10">
        <v>45841</v>
      </c>
      <c r="K447" s="10">
        <v>45863</v>
      </c>
      <c r="L447" s="11" t="s">
        <v>316</v>
      </c>
      <c r="M447" s="12">
        <f t="shared" si="33"/>
        <v>75530858.899999991</v>
      </c>
    </row>
    <row r="448" spans="1:13" ht="16.5">
      <c r="A448" s="7">
        <v>445</v>
      </c>
      <c r="B448" s="24">
        <v>26</v>
      </c>
      <c r="C448" s="24">
        <v>3</v>
      </c>
      <c r="D448" s="15">
        <v>7</v>
      </c>
      <c r="E448" s="15">
        <v>6023</v>
      </c>
      <c r="F448" s="17">
        <v>8</v>
      </c>
      <c r="G448" s="17">
        <v>1</v>
      </c>
      <c r="H448" s="7">
        <f>137+66</f>
        <v>203</v>
      </c>
      <c r="I448" s="9">
        <f t="shared" si="30"/>
        <v>144</v>
      </c>
      <c r="J448" s="10">
        <v>45861</v>
      </c>
      <c r="K448" s="10">
        <v>45866</v>
      </c>
      <c r="L448" s="26" t="s">
        <v>54</v>
      </c>
      <c r="M448" s="12">
        <f t="shared" si="33"/>
        <v>31291355.829999998</v>
      </c>
    </row>
    <row r="449" spans="1:13" ht="16.5">
      <c r="A449" s="7">
        <v>446</v>
      </c>
      <c r="B449" s="24">
        <v>28</v>
      </c>
      <c r="C449" s="24">
        <v>3</v>
      </c>
      <c r="D449" s="15">
        <v>7</v>
      </c>
      <c r="E449" s="15">
        <v>6736</v>
      </c>
      <c r="F449" s="17">
        <v>68</v>
      </c>
      <c r="G449" s="17">
        <v>13</v>
      </c>
      <c r="H449" s="7">
        <f>112+29+79</f>
        <v>220</v>
      </c>
      <c r="I449" s="9">
        <f t="shared" si="30"/>
        <v>264</v>
      </c>
      <c r="J449" s="10">
        <v>45859</v>
      </c>
      <c r="K449" s="10">
        <v>45869</v>
      </c>
      <c r="L449" s="26" t="s">
        <v>317</v>
      </c>
      <c r="M449" s="12">
        <f t="shared" si="33"/>
        <v>33911814.199999996</v>
      </c>
    </row>
    <row r="450" spans="1:13" ht="16.5">
      <c r="A450" s="7">
        <v>447</v>
      </c>
      <c r="B450" s="24">
        <v>31</v>
      </c>
      <c r="C450" s="24">
        <v>3</v>
      </c>
      <c r="D450" s="15">
        <v>7</v>
      </c>
      <c r="E450" s="15">
        <v>9314</v>
      </c>
      <c r="F450" s="17">
        <v>76</v>
      </c>
      <c r="G450" s="17">
        <v>5</v>
      </c>
      <c r="H450" s="7">
        <f>140+39+79</f>
        <v>258</v>
      </c>
      <c r="I450" s="9">
        <f t="shared" si="30"/>
        <v>192</v>
      </c>
      <c r="J450" s="10">
        <v>45860</v>
      </c>
      <c r="K450" s="10">
        <v>45867</v>
      </c>
      <c r="L450" s="26" t="s">
        <v>40</v>
      </c>
      <c r="M450" s="12">
        <f t="shared" si="33"/>
        <v>39769309.379999995</v>
      </c>
    </row>
    <row r="451" spans="1:13">
      <c r="A451" s="7">
        <v>448</v>
      </c>
      <c r="B451" s="7">
        <v>34</v>
      </c>
      <c r="C451" s="24">
        <v>3</v>
      </c>
      <c r="D451" s="15">
        <v>7</v>
      </c>
      <c r="E451" s="7">
        <v>7566</v>
      </c>
      <c r="F451" s="8">
        <v>15</v>
      </c>
      <c r="G451" s="8">
        <v>13</v>
      </c>
      <c r="H451" s="7">
        <f>177+140+39+72</f>
        <v>428</v>
      </c>
      <c r="I451" s="15">
        <f t="shared" si="30"/>
        <v>456</v>
      </c>
      <c r="J451" s="10">
        <v>45850</v>
      </c>
      <c r="K451" s="10">
        <v>45868</v>
      </c>
      <c r="L451" s="11" t="s">
        <v>318</v>
      </c>
      <c r="M451" s="12">
        <f t="shared" si="33"/>
        <v>65973893.079999991</v>
      </c>
    </row>
    <row r="452" spans="1:13">
      <c r="A452" s="7">
        <v>449</v>
      </c>
      <c r="B452" s="7">
        <v>35</v>
      </c>
      <c r="C452" s="24">
        <v>3</v>
      </c>
      <c r="D452" s="15">
        <v>7</v>
      </c>
      <c r="E452" s="7">
        <v>9011</v>
      </c>
      <c r="F452" s="8">
        <v>76</v>
      </c>
      <c r="G452" s="8">
        <v>5</v>
      </c>
      <c r="H452" s="7">
        <f>39+392+234+79</f>
        <v>744</v>
      </c>
      <c r="I452" s="15">
        <f t="shared" ref="I452:I515" si="34">(K452-J452+1)*24</f>
        <v>888</v>
      </c>
      <c r="J452" s="10">
        <v>45832</v>
      </c>
      <c r="K452" s="10">
        <v>45868</v>
      </c>
      <c r="L452" s="11" t="s">
        <v>226</v>
      </c>
      <c r="M452" s="12">
        <f t="shared" si="33"/>
        <v>114683589.83999999</v>
      </c>
    </row>
    <row r="453" spans="1:13">
      <c r="A453" s="7">
        <v>450</v>
      </c>
      <c r="B453" s="24">
        <v>22</v>
      </c>
      <c r="C453" s="24">
        <v>3</v>
      </c>
      <c r="D453" s="15">
        <v>8</v>
      </c>
      <c r="E453" s="15">
        <v>7578</v>
      </c>
      <c r="F453" s="8">
        <v>73</v>
      </c>
      <c r="G453" s="8">
        <v>13</v>
      </c>
      <c r="H453" s="7">
        <f>45+112+29+72</f>
        <v>258</v>
      </c>
      <c r="I453" s="9">
        <f t="shared" si="34"/>
        <v>336</v>
      </c>
      <c r="J453" s="10">
        <v>45861</v>
      </c>
      <c r="K453" s="10">
        <v>45874</v>
      </c>
      <c r="L453" s="11" t="s">
        <v>334</v>
      </c>
      <c r="M453" s="12">
        <f t="shared" si="33"/>
        <v>39769309.379999995</v>
      </c>
    </row>
    <row r="454" spans="1:13">
      <c r="A454" s="7">
        <v>451</v>
      </c>
      <c r="B454" s="24">
        <v>26</v>
      </c>
      <c r="C454" s="24">
        <v>3</v>
      </c>
      <c r="D454" s="15">
        <v>8</v>
      </c>
      <c r="E454" s="15">
        <v>4360</v>
      </c>
      <c r="F454" s="15">
        <v>61</v>
      </c>
      <c r="G454" s="15">
        <v>1</v>
      </c>
      <c r="H454" s="7">
        <f>39+112+29+37+79</f>
        <v>296</v>
      </c>
      <c r="I454" s="9">
        <f t="shared" si="34"/>
        <v>264</v>
      </c>
      <c r="J454" s="10">
        <v>45867</v>
      </c>
      <c r="K454" s="10">
        <v>45877</v>
      </c>
      <c r="L454" s="11" t="s">
        <v>335</v>
      </c>
      <c r="M454" s="12">
        <f t="shared" si="33"/>
        <v>45626804.559999995</v>
      </c>
    </row>
    <row r="455" spans="1:13">
      <c r="A455" s="7">
        <v>452</v>
      </c>
      <c r="B455" s="24">
        <v>29</v>
      </c>
      <c r="C455" s="24">
        <v>3</v>
      </c>
      <c r="D455" s="15">
        <v>8</v>
      </c>
      <c r="E455" s="15">
        <v>5848</v>
      </c>
      <c r="F455" s="15">
        <v>60</v>
      </c>
      <c r="G455" s="15">
        <v>1</v>
      </c>
      <c r="H455" s="7">
        <f>112+29+234+79</f>
        <v>454</v>
      </c>
      <c r="I455" s="9">
        <f t="shared" si="34"/>
        <v>456</v>
      </c>
      <c r="J455" s="10">
        <v>45860</v>
      </c>
      <c r="K455" s="10">
        <v>45878</v>
      </c>
      <c r="L455" s="11" t="s">
        <v>336</v>
      </c>
      <c r="M455" s="12">
        <f t="shared" si="33"/>
        <v>69981652.939999998</v>
      </c>
    </row>
    <row r="456" spans="1:13">
      <c r="A456" s="7">
        <v>453</v>
      </c>
      <c r="B456" s="24">
        <v>30</v>
      </c>
      <c r="C456" s="24">
        <v>3</v>
      </c>
      <c r="D456" s="15">
        <v>8</v>
      </c>
      <c r="E456" s="15">
        <v>9131</v>
      </c>
      <c r="F456" s="22" t="s">
        <v>25</v>
      </c>
      <c r="G456" s="22" t="s">
        <v>13</v>
      </c>
      <c r="H456" s="7">
        <f>140+39+71</f>
        <v>250</v>
      </c>
      <c r="I456" s="9">
        <f t="shared" si="34"/>
        <v>216</v>
      </c>
      <c r="J456" s="10">
        <v>45871</v>
      </c>
      <c r="K456" s="10">
        <v>45879</v>
      </c>
      <c r="L456" s="11" t="s">
        <v>40</v>
      </c>
      <c r="M456" s="12">
        <f t="shared" si="33"/>
        <v>38536152.5</v>
      </c>
    </row>
    <row r="457" spans="1:13">
      <c r="A457" s="7">
        <v>454</v>
      </c>
      <c r="B457" s="24">
        <v>34</v>
      </c>
      <c r="C457" s="24">
        <v>3</v>
      </c>
      <c r="D457" s="15">
        <v>8</v>
      </c>
      <c r="E457" s="15">
        <v>7309</v>
      </c>
      <c r="F457" s="7">
        <v>81</v>
      </c>
      <c r="G457" s="7">
        <v>5</v>
      </c>
      <c r="H457" s="7">
        <f>140+39+79</f>
        <v>258</v>
      </c>
      <c r="I457" s="9">
        <f t="shared" si="34"/>
        <v>360</v>
      </c>
      <c r="J457" s="10">
        <v>45869</v>
      </c>
      <c r="K457" s="10">
        <v>45883</v>
      </c>
      <c r="L457" s="11" t="s">
        <v>40</v>
      </c>
      <c r="M457" s="12">
        <f t="shared" si="33"/>
        <v>39769309.379999995</v>
      </c>
    </row>
    <row r="458" spans="1:13" ht="31.5">
      <c r="A458" s="7">
        <v>455</v>
      </c>
      <c r="B458" s="24">
        <v>23</v>
      </c>
      <c r="C458" s="24">
        <v>3</v>
      </c>
      <c r="D458" s="15">
        <v>8</v>
      </c>
      <c r="E458" s="15">
        <v>5591</v>
      </c>
      <c r="F458" s="15">
        <v>1</v>
      </c>
      <c r="G458" s="15">
        <v>1</v>
      </c>
      <c r="H458" s="7">
        <f>268+39+45+112+29+79</f>
        <v>572</v>
      </c>
      <c r="I458" s="9">
        <f t="shared" si="34"/>
        <v>1464</v>
      </c>
      <c r="J458" s="10">
        <v>45823</v>
      </c>
      <c r="K458" s="10">
        <v>45883</v>
      </c>
      <c r="L458" s="11" t="s">
        <v>337</v>
      </c>
      <c r="M458" s="12">
        <f t="shared" si="33"/>
        <v>88170716.919999987</v>
      </c>
    </row>
    <row r="459" spans="1:13">
      <c r="A459" s="7">
        <v>456</v>
      </c>
      <c r="B459" s="24">
        <v>24</v>
      </c>
      <c r="C459" s="24">
        <v>3</v>
      </c>
      <c r="D459" s="15">
        <v>8</v>
      </c>
      <c r="E459" s="15">
        <v>4002</v>
      </c>
      <c r="F459" s="15">
        <v>74</v>
      </c>
      <c r="G459" s="15">
        <v>13</v>
      </c>
      <c r="H459" s="7">
        <f>39+164+29+79</f>
        <v>311</v>
      </c>
      <c r="I459" s="9">
        <f t="shared" si="34"/>
        <v>840</v>
      </c>
      <c r="J459" s="10">
        <v>45851</v>
      </c>
      <c r="K459" s="10">
        <v>45885</v>
      </c>
      <c r="L459" s="11" t="s">
        <v>359</v>
      </c>
      <c r="M459" s="12">
        <f t="shared" si="33"/>
        <v>47938973.709999993</v>
      </c>
    </row>
    <row r="460" spans="1:13">
      <c r="A460" s="7">
        <v>457</v>
      </c>
      <c r="B460" s="24">
        <v>29</v>
      </c>
      <c r="C460" s="24">
        <v>3</v>
      </c>
      <c r="D460" s="15">
        <v>8</v>
      </c>
      <c r="E460" s="15">
        <v>6991</v>
      </c>
      <c r="F460" s="15">
        <v>61</v>
      </c>
      <c r="G460" s="15">
        <v>1</v>
      </c>
      <c r="H460" s="7">
        <f>177+39+72</f>
        <v>288</v>
      </c>
      <c r="I460" s="9">
        <f t="shared" si="34"/>
        <v>192</v>
      </c>
      <c r="J460" s="10">
        <v>45879</v>
      </c>
      <c r="K460" s="10">
        <v>45886</v>
      </c>
      <c r="L460" s="26" t="s">
        <v>52</v>
      </c>
      <c r="M460" s="12">
        <f t="shared" si="33"/>
        <v>44393647.679999992</v>
      </c>
    </row>
    <row r="461" spans="1:13">
      <c r="A461" s="7">
        <v>458</v>
      </c>
      <c r="B461" s="24">
        <v>26</v>
      </c>
      <c r="C461" s="24">
        <v>3</v>
      </c>
      <c r="D461" s="15">
        <v>8</v>
      </c>
      <c r="E461" s="15">
        <v>4657</v>
      </c>
      <c r="F461" s="15">
        <v>61</v>
      </c>
      <c r="G461" s="15">
        <v>1</v>
      </c>
      <c r="H461" s="7">
        <f>112+29+79</f>
        <v>220</v>
      </c>
      <c r="I461" s="9">
        <f t="shared" si="34"/>
        <v>240</v>
      </c>
      <c r="J461" s="10">
        <v>45878</v>
      </c>
      <c r="K461" s="10">
        <v>45887</v>
      </c>
      <c r="L461" s="11" t="s">
        <v>331</v>
      </c>
      <c r="M461" s="12">
        <f t="shared" si="33"/>
        <v>33911814.199999996</v>
      </c>
    </row>
    <row r="462" spans="1:13">
      <c r="A462" s="7">
        <v>459</v>
      </c>
      <c r="B462" s="24">
        <v>34</v>
      </c>
      <c r="C462" s="24">
        <v>3</v>
      </c>
      <c r="D462" s="15">
        <v>8</v>
      </c>
      <c r="E462" s="15">
        <v>7644</v>
      </c>
      <c r="F462" s="22">
        <v>80</v>
      </c>
      <c r="G462" s="22">
        <v>5</v>
      </c>
      <c r="H462" s="7">
        <f>221+39+45+79</f>
        <v>384</v>
      </c>
      <c r="I462" s="9">
        <f t="shared" si="34"/>
        <v>144</v>
      </c>
      <c r="J462" s="10">
        <v>45884</v>
      </c>
      <c r="K462" s="10">
        <v>45889</v>
      </c>
      <c r="L462" s="11" t="s">
        <v>333</v>
      </c>
      <c r="M462" s="12">
        <f t="shared" si="33"/>
        <v>59191530.239999995</v>
      </c>
    </row>
    <row r="463" spans="1:13">
      <c r="A463" s="7">
        <v>460</v>
      </c>
      <c r="B463" s="24">
        <v>25</v>
      </c>
      <c r="C463" s="24">
        <v>3</v>
      </c>
      <c r="D463" s="15">
        <v>8</v>
      </c>
      <c r="E463" s="15">
        <v>3656</v>
      </c>
      <c r="F463" s="22" t="s">
        <v>149</v>
      </c>
      <c r="G463" s="22" t="s">
        <v>13</v>
      </c>
      <c r="H463" s="7">
        <f>221+39+37+71</f>
        <v>368</v>
      </c>
      <c r="I463" s="9">
        <f t="shared" si="34"/>
        <v>672</v>
      </c>
      <c r="J463" s="10">
        <v>45862</v>
      </c>
      <c r="K463" s="10">
        <v>45889</v>
      </c>
      <c r="L463" s="11" t="s">
        <v>338</v>
      </c>
      <c r="M463" s="12">
        <f t="shared" si="33"/>
        <v>56725216.479999997</v>
      </c>
    </row>
    <row r="464" spans="1:13" ht="31.5">
      <c r="A464" s="7">
        <v>461</v>
      </c>
      <c r="B464" s="24">
        <v>27</v>
      </c>
      <c r="C464" s="24">
        <v>3</v>
      </c>
      <c r="D464" s="15">
        <v>8</v>
      </c>
      <c r="E464" s="15">
        <v>6956</v>
      </c>
      <c r="F464" s="17">
        <v>74</v>
      </c>
      <c r="G464" s="17">
        <v>13</v>
      </c>
      <c r="H464" s="7">
        <f>268+39+234+112+29+72</f>
        <v>754</v>
      </c>
      <c r="I464" s="9">
        <f t="shared" si="34"/>
        <v>864</v>
      </c>
      <c r="J464" s="10">
        <v>45859</v>
      </c>
      <c r="K464" s="10">
        <v>45894</v>
      </c>
      <c r="L464" s="11" t="s">
        <v>339</v>
      </c>
      <c r="M464" s="12">
        <f t="shared" si="33"/>
        <v>116225035.93999998</v>
      </c>
    </row>
    <row r="465" spans="1:13" ht="16.5">
      <c r="A465" s="7">
        <v>462</v>
      </c>
      <c r="B465" s="24">
        <v>28</v>
      </c>
      <c r="C465" s="24">
        <v>3</v>
      </c>
      <c r="D465" s="15">
        <v>8</v>
      </c>
      <c r="E465" s="15">
        <v>7906</v>
      </c>
      <c r="F465" s="17">
        <v>80</v>
      </c>
      <c r="G465" s="17">
        <v>5</v>
      </c>
      <c r="H465" s="7">
        <f>221+140+39+79</f>
        <v>479</v>
      </c>
      <c r="I465" s="9">
        <f t="shared" si="34"/>
        <v>936</v>
      </c>
      <c r="J465" s="10">
        <v>45859</v>
      </c>
      <c r="K465" s="10">
        <v>45897</v>
      </c>
      <c r="L465" s="11" t="s">
        <v>360</v>
      </c>
      <c r="M465" s="12">
        <f t="shared" si="33"/>
        <v>73835268.189999998</v>
      </c>
    </row>
    <row r="466" spans="1:13">
      <c r="A466" s="7">
        <v>463</v>
      </c>
      <c r="B466" s="7">
        <v>24</v>
      </c>
      <c r="C466" s="24">
        <v>3</v>
      </c>
      <c r="D466" s="15">
        <v>8</v>
      </c>
      <c r="E466" s="7">
        <v>9013</v>
      </c>
      <c r="F466" s="8">
        <v>76</v>
      </c>
      <c r="G466" s="8">
        <v>5</v>
      </c>
      <c r="H466" s="7">
        <f>177+39+45+79</f>
        <v>340</v>
      </c>
      <c r="I466" s="9">
        <f t="shared" si="34"/>
        <v>312</v>
      </c>
      <c r="J466" s="10">
        <v>45886</v>
      </c>
      <c r="K466" s="10">
        <v>45898</v>
      </c>
      <c r="L466" s="26" t="s">
        <v>361</v>
      </c>
      <c r="M466" s="12">
        <f t="shared" si="33"/>
        <v>52409167.399999999</v>
      </c>
    </row>
    <row r="467" spans="1:13">
      <c r="A467" s="7">
        <v>464</v>
      </c>
      <c r="B467" s="7">
        <v>25</v>
      </c>
      <c r="C467" s="24">
        <v>3</v>
      </c>
      <c r="D467" s="15">
        <v>8</v>
      </c>
      <c r="E467" s="7">
        <v>4160</v>
      </c>
      <c r="F467" s="8">
        <v>69</v>
      </c>
      <c r="G467" s="8">
        <v>10</v>
      </c>
      <c r="H467" s="7">
        <f>112+71</f>
        <v>183</v>
      </c>
      <c r="I467" s="9">
        <f t="shared" si="34"/>
        <v>168</v>
      </c>
      <c r="J467" s="10">
        <v>45891</v>
      </c>
      <c r="K467" s="10">
        <v>45897</v>
      </c>
      <c r="L467" s="11" t="s">
        <v>340</v>
      </c>
      <c r="M467" s="12">
        <f t="shared" si="33"/>
        <v>28208463.629999999</v>
      </c>
    </row>
    <row r="468" spans="1:13">
      <c r="A468" s="7">
        <v>465</v>
      </c>
      <c r="B468" s="7">
        <v>26</v>
      </c>
      <c r="C468" s="24">
        <v>3</v>
      </c>
      <c r="D468" s="15">
        <v>8</v>
      </c>
      <c r="E468" s="7">
        <v>7676</v>
      </c>
      <c r="F468" s="8">
        <v>11</v>
      </c>
      <c r="G468" s="8">
        <v>10</v>
      </c>
      <c r="H468" s="7">
        <f>177+112+29+79</f>
        <v>397</v>
      </c>
      <c r="I468" s="9">
        <f t="shared" si="34"/>
        <v>312</v>
      </c>
      <c r="J468" s="10">
        <v>45888</v>
      </c>
      <c r="K468" s="10">
        <v>45900</v>
      </c>
      <c r="L468" s="11" t="s">
        <v>341</v>
      </c>
      <c r="M468" s="12">
        <f t="shared" si="33"/>
        <v>61195410.169999994</v>
      </c>
    </row>
    <row r="469" spans="1:13">
      <c r="A469" s="7">
        <v>466</v>
      </c>
      <c r="B469" s="7">
        <v>31</v>
      </c>
      <c r="C469" s="24">
        <v>3</v>
      </c>
      <c r="D469" s="15">
        <v>8</v>
      </c>
      <c r="E469" s="7">
        <v>3400</v>
      </c>
      <c r="F469" s="8">
        <v>66</v>
      </c>
      <c r="G469" s="8">
        <v>10</v>
      </c>
      <c r="H469" s="7">
        <f>177+39+45+112+29+79</f>
        <v>481</v>
      </c>
      <c r="I469" s="9">
        <f t="shared" si="34"/>
        <v>792</v>
      </c>
      <c r="J469" s="10">
        <v>45868</v>
      </c>
      <c r="K469" s="10">
        <v>45900</v>
      </c>
      <c r="L469" s="11" t="s">
        <v>342</v>
      </c>
      <c r="M469" s="12">
        <f t="shared" si="33"/>
        <v>74143557.409999996</v>
      </c>
    </row>
    <row r="470" spans="1:13" ht="31.5">
      <c r="A470" s="7">
        <v>467</v>
      </c>
      <c r="B470" s="7">
        <v>33</v>
      </c>
      <c r="C470" s="24">
        <v>3</v>
      </c>
      <c r="D470" s="15">
        <v>8</v>
      </c>
      <c r="E470" s="7">
        <v>4649</v>
      </c>
      <c r="F470" s="8">
        <v>92</v>
      </c>
      <c r="G470" s="8">
        <v>10</v>
      </c>
      <c r="H470" s="7">
        <f>177+39+45+112+29+137+72</f>
        <v>611</v>
      </c>
      <c r="I470" s="9">
        <f t="shared" si="34"/>
        <v>840</v>
      </c>
      <c r="J470" s="10">
        <v>45865</v>
      </c>
      <c r="K470" s="10">
        <v>45899</v>
      </c>
      <c r="L470" s="11" t="s">
        <v>362</v>
      </c>
      <c r="M470" s="12">
        <f t="shared" si="33"/>
        <v>94182356.709999993</v>
      </c>
    </row>
    <row r="471" spans="1:13">
      <c r="A471" s="7">
        <v>468</v>
      </c>
      <c r="B471" s="24">
        <v>34</v>
      </c>
      <c r="C471" s="24">
        <v>3</v>
      </c>
      <c r="D471" s="15">
        <v>9</v>
      </c>
      <c r="E471" s="15">
        <v>5752</v>
      </c>
      <c r="F471" s="8">
        <v>77</v>
      </c>
      <c r="G471" s="8">
        <v>5</v>
      </c>
      <c r="H471" s="7">
        <f>221+45+29+79</f>
        <v>374</v>
      </c>
      <c r="I471" s="9">
        <f t="shared" si="34"/>
        <v>408</v>
      </c>
      <c r="J471" s="10">
        <v>45890</v>
      </c>
      <c r="K471" s="10">
        <v>45906</v>
      </c>
      <c r="L471" s="11" t="s">
        <v>364</v>
      </c>
      <c r="M471" s="12">
        <f t="shared" si="33"/>
        <v>57650084.139999993</v>
      </c>
    </row>
    <row r="472" spans="1:13">
      <c r="A472" s="7">
        <v>469</v>
      </c>
      <c r="B472" s="24">
        <v>26</v>
      </c>
      <c r="C472" s="24">
        <v>3</v>
      </c>
      <c r="D472" s="15">
        <v>9</v>
      </c>
      <c r="E472" s="15">
        <v>7586</v>
      </c>
      <c r="F472" s="15">
        <v>68</v>
      </c>
      <c r="G472" s="15">
        <v>13</v>
      </c>
      <c r="H472" s="7">
        <f>112+39+29+79</f>
        <v>259</v>
      </c>
      <c r="I472" s="9">
        <f t="shared" si="34"/>
        <v>168</v>
      </c>
      <c r="J472" s="10">
        <v>45901</v>
      </c>
      <c r="K472" s="10">
        <v>45907</v>
      </c>
      <c r="L472" s="11" t="s">
        <v>188</v>
      </c>
      <c r="M472" s="12">
        <f t="shared" si="33"/>
        <v>39923453.989999995</v>
      </c>
    </row>
    <row r="473" spans="1:13">
      <c r="A473" s="7">
        <v>470</v>
      </c>
      <c r="B473" s="24">
        <v>22</v>
      </c>
      <c r="C473" s="24">
        <v>3</v>
      </c>
      <c r="D473" s="15">
        <v>9</v>
      </c>
      <c r="E473" s="15">
        <v>4158</v>
      </c>
      <c r="F473" s="15">
        <v>61</v>
      </c>
      <c r="G473" s="15">
        <v>1</v>
      </c>
      <c r="H473" s="7">
        <f>221+39+45+112+29+79</f>
        <v>525</v>
      </c>
      <c r="I473" s="9">
        <f t="shared" si="34"/>
        <v>840</v>
      </c>
      <c r="J473" s="10">
        <v>45875</v>
      </c>
      <c r="K473" s="10">
        <v>45909</v>
      </c>
      <c r="L473" s="11" t="s">
        <v>365</v>
      </c>
      <c r="M473" s="12">
        <f t="shared" si="33"/>
        <v>80925920.25</v>
      </c>
    </row>
    <row r="474" spans="1:13">
      <c r="A474" s="7">
        <v>471</v>
      </c>
      <c r="B474" s="24">
        <v>35</v>
      </c>
      <c r="C474" s="24">
        <v>3</v>
      </c>
      <c r="D474" s="15">
        <v>9</v>
      </c>
      <c r="E474" s="15">
        <v>2492</v>
      </c>
      <c r="F474" s="22">
        <v>61</v>
      </c>
      <c r="G474" s="22">
        <v>1</v>
      </c>
      <c r="H474" s="7">
        <f>39+392+29+79</f>
        <v>539</v>
      </c>
      <c r="I474" s="9">
        <f t="shared" si="34"/>
        <v>816</v>
      </c>
      <c r="J474" s="10">
        <v>45877</v>
      </c>
      <c r="K474" s="10">
        <v>45910</v>
      </c>
      <c r="L474" s="11" t="s">
        <v>387</v>
      </c>
      <c r="M474" s="12">
        <f t="shared" si="33"/>
        <v>83083944.789999992</v>
      </c>
    </row>
    <row r="475" spans="1:13" ht="31.5">
      <c r="A475" s="7">
        <v>472</v>
      </c>
      <c r="B475" s="24">
        <v>23</v>
      </c>
      <c r="C475" s="24">
        <v>3</v>
      </c>
      <c r="D475" s="15">
        <v>9</v>
      </c>
      <c r="E475" s="15">
        <v>3188</v>
      </c>
      <c r="F475" s="7">
        <v>61</v>
      </c>
      <c r="G475" s="7">
        <v>1</v>
      </c>
      <c r="H475" s="7">
        <f>221+39+45+234+79</f>
        <v>618</v>
      </c>
      <c r="I475" s="9">
        <f t="shared" si="34"/>
        <v>672</v>
      </c>
      <c r="J475" s="10">
        <v>45884</v>
      </c>
      <c r="K475" s="10">
        <v>45911</v>
      </c>
      <c r="L475" s="11" t="s">
        <v>388</v>
      </c>
      <c r="M475" s="12">
        <f t="shared" ref="M475:M506" si="35">H475*154144.61</f>
        <v>95261368.979999989</v>
      </c>
    </row>
    <row r="476" spans="1:13">
      <c r="A476" s="7">
        <v>473</v>
      </c>
      <c r="B476" s="24">
        <v>35</v>
      </c>
      <c r="C476" s="24">
        <v>3</v>
      </c>
      <c r="D476" s="15">
        <v>9</v>
      </c>
      <c r="E476" s="15">
        <v>4332</v>
      </c>
      <c r="F476" s="15">
        <v>61</v>
      </c>
      <c r="G476" s="15">
        <v>1</v>
      </c>
      <c r="H476" s="7">
        <f>234+79</f>
        <v>313</v>
      </c>
      <c r="I476" s="9">
        <f t="shared" si="34"/>
        <v>192</v>
      </c>
      <c r="J476" s="10">
        <v>45911</v>
      </c>
      <c r="K476" s="10">
        <v>45918</v>
      </c>
      <c r="L476" s="11" t="s">
        <v>375</v>
      </c>
      <c r="M476" s="12">
        <f t="shared" si="35"/>
        <v>48247262.929999992</v>
      </c>
    </row>
    <row r="477" spans="1:13">
      <c r="A477" s="7">
        <v>474</v>
      </c>
      <c r="B477" s="24">
        <v>24</v>
      </c>
      <c r="C477" s="24">
        <v>3</v>
      </c>
      <c r="D477" s="15">
        <v>9</v>
      </c>
      <c r="E477" s="15">
        <v>3013</v>
      </c>
      <c r="F477" s="15">
        <v>77</v>
      </c>
      <c r="G477" s="15">
        <v>5</v>
      </c>
      <c r="H477" s="7">
        <f>268+112+39+29+79</f>
        <v>527</v>
      </c>
      <c r="I477" s="9">
        <f t="shared" si="34"/>
        <v>504</v>
      </c>
      <c r="J477" s="10">
        <v>45899</v>
      </c>
      <c r="K477" s="10">
        <v>45919</v>
      </c>
      <c r="L477" s="11" t="s">
        <v>374</v>
      </c>
      <c r="M477" s="12">
        <f t="shared" si="35"/>
        <v>81234209.469999999</v>
      </c>
    </row>
    <row r="478" spans="1:13">
      <c r="A478" s="7">
        <v>475</v>
      </c>
      <c r="B478" s="24">
        <v>29</v>
      </c>
      <c r="C478" s="24">
        <v>3</v>
      </c>
      <c r="D478" s="15">
        <v>9</v>
      </c>
      <c r="E478" s="15">
        <v>6972</v>
      </c>
      <c r="F478" s="15">
        <v>60</v>
      </c>
      <c r="G478" s="15">
        <v>1</v>
      </c>
      <c r="H478" s="7">
        <f>221+140+234+79</f>
        <v>674</v>
      </c>
      <c r="I478" s="9">
        <f t="shared" si="34"/>
        <v>792</v>
      </c>
      <c r="J478" s="10">
        <v>45887</v>
      </c>
      <c r="K478" s="10">
        <v>45919</v>
      </c>
      <c r="L478" s="26" t="s">
        <v>389</v>
      </c>
      <c r="M478" s="12">
        <f t="shared" si="35"/>
        <v>103893467.13999999</v>
      </c>
    </row>
    <row r="479" spans="1:13" ht="31.5">
      <c r="A479" s="7">
        <v>476</v>
      </c>
      <c r="B479" s="24">
        <v>28</v>
      </c>
      <c r="C479" s="24">
        <v>3</v>
      </c>
      <c r="D479" s="15">
        <v>9</v>
      </c>
      <c r="E479" s="15">
        <v>8023</v>
      </c>
      <c r="F479" s="15">
        <v>76</v>
      </c>
      <c r="G479" s="15">
        <v>5</v>
      </c>
      <c r="H479" s="7">
        <f>221+164+29+39+79</f>
        <v>532</v>
      </c>
      <c r="I479" s="9">
        <f t="shared" si="34"/>
        <v>576</v>
      </c>
      <c r="J479" s="10">
        <v>45898</v>
      </c>
      <c r="K479" s="10">
        <v>45921</v>
      </c>
      <c r="L479" s="11" t="s">
        <v>289</v>
      </c>
      <c r="M479" s="12">
        <f t="shared" si="35"/>
        <v>82004932.519999996</v>
      </c>
    </row>
    <row r="480" spans="1:13">
      <c r="A480" s="7">
        <v>477</v>
      </c>
      <c r="B480" s="24">
        <v>26</v>
      </c>
      <c r="C480" s="24">
        <v>3</v>
      </c>
      <c r="D480" s="15">
        <v>9</v>
      </c>
      <c r="E480" s="15">
        <v>7676</v>
      </c>
      <c r="F480" s="22">
        <v>11</v>
      </c>
      <c r="G480" s="22">
        <v>10</v>
      </c>
      <c r="H480" s="7">
        <f>234</f>
        <v>234</v>
      </c>
      <c r="I480" s="9">
        <f t="shared" si="34"/>
        <v>336</v>
      </c>
      <c r="J480" s="10">
        <v>45908</v>
      </c>
      <c r="K480" s="10">
        <v>45921</v>
      </c>
      <c r="L480" s="11" t="s">
        <v>375</v>
      </c>
      <c r="M480" s="12">
        <f t="shared" si="35"/>
        <v>36069838.739999995</v>
      </c>
    </row>
    <row r="481" spans="1:13" ht="31.5">
      <c r="A481" s="7">
        <v>478</v>
      </c>
      <c r="B481" s="24">
        <v>27</v>
      </c>
      <c r="C481" s="24">
        <v>3</v>
      </c>
      <c r="D481" s="15">
        <v>9</v>
      </c>
      <c r="E481" s="15">
        <v>9770</v>
      </c>
      <c r="F481" s="22">
        <v>74</v>
      </c>
      <c r="G481" s="22">
        <v>13</v>
      </c>
      <c r="H481" s="7">
        <f>221+45+112+29+39+79</f>
        <v>525</v>
      </c>
      <c r="I481" s="9">
        <f t="shared" si="34"/>
        <v>480</v>
      </c>
      <c r="J481" s="10">
        <v>45904</v>
      </c>
      <c r="K481" s="10">
        <v>45923</v>
      </c>
      <c r="L481" s="11" t="s">
        <v>390</v>
      </c>
      <c r="M481" s="12">
        <f t="shared" si="35"/>
        <v>80925920.25</v>
      </c>
    </row>
    <row r="482" spans="1:13" ht="31.5">
      <c r="A482" s="7">
        <v>479</v>
      </c>
      <c r="B482" s="7">
        <v>30</v>
      </c>
      <c r="C482" s="24">
        <v>3</v>
      </c>
      <c r="D482" s="15">
        <v>9</v>
      </c>
      <c r="E482" s="7">
        <v>5713</v>
      </c>
      <c r="F482" s="8">
        <v>62</v>
      </c>
      <c r="G482" s="8">
        <v>1</v>
      </c>
      <c r="H482" s="7">
        <f>341+39+37+79</f>
        <v>496</v>
      </c>
      <c r="I482" s="9">
        <f t="shared" si="34"/>
        <v>1104</v>
      </c>
      <c r="J482" s="10">
        <v>45880</v>
      </c>
      <c r="K482" s="10">
        <v>45925</v>
      </c>
      <c r="L482" s="11" t="s">
        <v>382</v>
      </c>
      <c r="M482" s="12">
        <f t="shared" si="35"/>
        <v>76455726.559999987</v>
      </c>
    </row>
    <row r="483" spans="1:13" ht="31.5">
      <c r="A483" s="7">
        <v>480</v>
      </c>
      <c r="B483" s="7">
        <v>33</v>
      </c>
      <c r="C483" s="24">
        <v>3</v>
      </c>
      <c r="D483" s="15">
        <v>9</v>
      </c>
      <c r="E483" s="7">
        <v>2803</v>
      </c>
      <c r="F483" s="8">
        <v>92</v>
      </c>
      <c r="G483" s="8">
        <v>10</v>
      </c>
      <c r="H483" s="7">
        <f>268+39+45+112+29+72</f>
        <v>565</v>
      </c>
      <c r="I483" s="9">
        <f t="shared" si="34"/>
        <v>744</v>
      </c>
      <c r="J483" s="10">
        <v>45900</v>
      </c>
      <c r="K483" s="10">
        <v>45930</v>
      </c>
      <c r="L483" s="11" t="s">
        <v>337</v>
      </c>
      <c r="M483" s="12">
        <f t="shared" si="35"/>
        <v>87091704.649999991</v>
      </c>
    </row>
    <row r="484" spans="1:13" ht="16.5">
      <c r="A484" s="7">
        <v>481</v>
      </c>
      <c r="B484" s="24">
        <v>30</v>
      </c>
      <c r="C484" s="24">
        <v>3</v>
      </c>
      <c r="D484" s="15">
        <v>10</v>
      </c>
      <c r="E484" s="15">
        <v>6197</v>
      </c>
      <c r="F484" s="8">
        <v>82</v>
      </c>
      <c r="G484" s="8">
        <v>5</v>
      </c>
      <c r="H484" s="7">
        <f>140+39+72</f>
        <v>251</v>
      </c>
      <c r="I484" s="9">
        <f t="shared" si="34"/>
        <v>144</v>
      </c>
      <c r="J484" s="10">
        <v>45926</v>
      </c>
      <c r="K484" s="10">
        <v>45931</v>
      </c>
      <c r="L484" s="19" t="s">
        <v>40</v>
      </c>
      <c r="M484" s="12">
        <f t="shared" si="35"/>
        <v>38690297.109999999</v>
      </c>
    </row>
    <row r="485" spans="1:13">
      <c r="A485" s="7">
        <v>482</v>
      </c>
      <c r="B485" s="24">
        <v>26</v>
      </c>
      <c r="C485" s="24">
        <v>3</v>
      </c>
      <c r="D485" s="15">
        <v>10</v>
      </c>
      <c r="E485" s="15">
        <v>2601</v>
      </c>
      <c r="F485" s="22" t="s">
        <v>147</v>
      </c>
      <c r="G485" s="22" t="s">
        <v>13</v>
      </c>
      <c r="H485" s="7">
        <f>137+66</f>
        <v>203</v>
      </c>
      <c r="I485" s="9">
        <f t="shared" si="34"/>
        <v>264</v>
      </c>
      <c r="J485" s="10">
        <v>45922</v>
      </c>
      <c r="K485" s="10">
        <v>45932</v>
      </c>
      <c r="L485" s="11" t="s">
        <v>136</v>
      </c>
      <c r="M485" s="12">
        <f t="shared" si="35"/>
        <v>31291355.829999998</v>
      </c>
    </row>
    <row r="486" spans="1:13" ht="31.5">
      <c r="A486" s="7">
        <v>483</v>
      </c>
      <c r="B486" s="24">
        <v>35</v>
      </c>
      <c r="C486" s="24">
        <v>3</v>
      </c>
      <c r="D486" s="15">
        <v>10</v>
      </c>
      <c r="E486" s="15">
        <v>4326</v>
      </c>
      <c r="F486" s="15">
        <v>61</v>
      </c>
      <c r="G486" s="15">
        <v>11</v>
      </c>
      <c r="H486" s="7">
        <f>221+39+392+72</f>
        <v>724</v>
      </c>
      <c r="I486" s="9">
        <f t="shared" si="34"/>
        <v>432</v>
      </c>
      <c r="J486" s="10">
        <v>45919</v>
      </c>
      <c r="K486" s="10">
        <v>45936</v>
      </c>
      <c r="L486" s="11" t="s">
        <v>409</v>
      </c>
      <c r="M486" s="12">
        <f t="shared" si="35"/>
        <v>111600697.63999999</v>
      </c>
    </row>
    <row r="487" spans="1:13" ht="31.5">
      <c r="A487" s="7">
        <v>484</v>
      </c>
      <c r="B487" s="24">
        <v>27</v>
      </c>
      <c r="C487" s="24">
        <v>3</v>
      </c>
      <c r="D487" s="15">
        <v>10</v>
      </c>
      <c r="E487" s="15">
        <v>1982</v>
      </c>
      <c r="F487" s="22" t="s">
        <v>128</v>
      </c>
      <c r="G487" s="22" t="s">
        <v>13</v>
      </c>
      <c r="H487" s="7">
        <f>220+39+137+66</f>
        <v>462</v>
      </c>
      <c r="I487" s="9">
        <f t="shared" si="34"/>
        <v>336</v>
      </c>
      <c r="J487" s="10">
        <v>45924</v>
      </c>
      <c r="K487" s="10">
        <v>45937</v>
      </c>
      <c r="L487" s="11" t="s">
        <v>400</v>
      </c>
      <c r="M487" s="12">
        <f t="shared" si="35"/>
        <v>71214809.819999993</v>
      </c>
    </row>
    <row r="488" spans="1:13">
      <c r="A488" s="7">
        <v>485</v>
      </c>
      <c r="B488" s="24">
        <v>26</v>
      </c>
      <c r="C488" s="24">
        <v>3</v>
      </c>
      <c r="D488" s="15">
        <v>10</v>
      </c>
      <c r="E488" s="15">
        <v>370</v>
      </c>
      <c r="F488" s="22" t="s">
        <v>223</v>
      </c>
      <c r="G488" s="22" t="s">
        <v>13</v>
      </c>
      <c r="H488" s="7">
        <f>221+39+71</f>
        <v>331</v>
      </c>
      <c r="I488" s="9">
        <f t="shared" si="34"/>
        <v>144</v>
      </c>
      <c r="J488" s="10">
        <v>45933</v>
      </c>
      <c r="K488" s="10">
        <v>45938</v>
      </c>
      <c r="L488" s="11" t="s">
        <v>148</v>
      </c>
      <c r="M488" s="12">
        <f t="shared" si="35"/>
        <v>51021865.909999996</v>
      </c>
    </row>
    <row r="489" spans="1:13">
      <c r="A489" s="7">
        <v>486</v>
      </c>
      <c r="B489" s="24">
        <v>22</v>
      </c>
      <c r="C489" s="24">
        <v>3</v>
      </c>
      <c r="D489" s="15">
        <v>10</v>
      </c>
      <c r="E489" s="15">
        <v>6193</v>
      </c>
      <c r="F489" s="15">
        <v>74</v>
      </c>
      <c r="G489" s="15">
        <v>13</v>
      </c>
      <c r="H489" s="7">
        <f>164+39+29+79</f>
        <v>311</v>
      </c>
      <c r="I489" s="9">
        <f t="shared" si="34"/>
        <v>768</v>
      </c>
      <c r="J489" s="10">
        <v>45910</v>
      </c>
      <c r="K489" s="10">
        <v>45941</v>
      </c>
      <c r="L489" s="11" t="s">
        <v>137</v>
      </c>
      <c r="M489" s="12">
        <f t="shared" si="35"/>
        <v>47938973.709999993</v>
      </c>
    </row>
    <row r="490" spans="1:13">
      <c r="A490" s="7">
        <v>487</v>
      </c>
      <c r="B490" s="24">
        <v>24</v>
      </c>
      <c r="C490" s="24">
        <v>3</v>
      </c>
      <c r="D490" s="15">
        <v>10</v>
      </c>
      <c r="E490" s="15">
        <v>5762</v>
      </c>
      <c r="F490" s="15">
        <v>69</v>
      </c>
      <c r="G490" s="15">
        <v>10</v>
      </c>
      <c r="H490" s="7">
        <f>392+29</f>
        <v>421</v>
      </c>
      <c r="I490" s="9">
        <f t="shared" si="34"/>
        <v>528</v>
      </c>
      <c r="J490" s="10">
        <v>45920</v>
      </c>
      <c r="K490" s="10">
        <v>45941</v>
      </c>
      <c r="L490" s="11" t="s">
        <v>198</v>
      </c>
      <c r="M490" s="12">
        <f t="shared" si="35"/>
        <v>64894880.809999995</v>
      </c>
    </row>
    <row r="491" spans="1:13" ht="31.5">
      <c r="A491" s="7">
        <v>488</v>
      </c>
      <c r="B491" s="24">
        <v>31</v>
      </c>
      <c r="C491" s="24">
        <v>3</v>
      </c>
      <c r="D491" s="15">
        <v>10</v>
      </c>
      <c r="E491" s="15">
        <v>6988</v>
      </c>
      <c r="F491" s="15">
        <v>15</v>
      </c>
      <c r="G491" s="15">
        <v>13</v>
      </c>
      <c r="H491" s="7">
        <f>268+392+29+72</f>
        <v>761</v>
      </c>
      <c r="I491" s="9">
        <f t="shared" si="34"/>
        <v>1032</v>
      </c>
      <c r="J491" s="10">
        <v>45901</v>
      </c>
      <c r="K491" s="10">
        <v>45943</v>
      </c>
      <c r="L491" s="11" t="s">
        <v>423</v>
      </c>
      <c r="M491" s="12">
        <f t="shared" si="35"/>
        <v>117304048.20999999</v>
      </c>
    </row>
    <row r="492" spans="1:13">
      <c r="A492" s="7">
        <v>489</v>
      </c>
      <c r="B492" s="24">
        <v>28</v>
      </c>
      <c r="C492" s="24">
        <v>3</v>
      </c>
      <c r="D492" s="15">
        <v>10</v>
      </c>
      <c r="E492" s="15">
        <v>9108</v>
      </c>
      <c r="F492" s="22">
        <v>81</v>
      </c>
      <c r="G492" s="22">
        <v>5</v>
      </c>
      <c r="H492" s="7">
        <f>177+112+39+29+79</f>
        <v>436</v>
      </c>
      <c r="I492" s="9">
        <f t="shared" si="34"/>
        <v>432</v>
      </c>
      <c r="J492" s="10">
        <v>45928</v>
      </c>
      <c r="K492" s="10">
        <v>45945</v>
      </c>
      <c r="L492" s="11" t="s">
        <v>256</v>
      </c>
      <c r="M492" s="12">
        <f t="shared" si="35"/>
        <v>67207049.959999993</v>
      </c>
    </row>
    <row r="493" spans="1:13">
      <c r="A493" s="7">
        <v>490</v>
      </c>
      <c r="B493" s="24">
        <v>30</v>
      </c>
      <c r="C493" s="24">
        <v>3</v>
      </c>
      <c r="D493" s="15">
        <v>10</v>
      </c>
      <c r="E493" s="15">
        <v>9709</v>
      </c>
      <c r="F493" s="22">
        <v>81</v>
      </c>
      <c r="G493" s="22">
        <v>5</v>
      </c>
      <c r="H493" s="7">
        <f>112+39+29+79</f>
        <v>259</v>
      </c>
      <c r="I493" s="9">
        <f t="shared" si="34"/>
        <v>312</v>
      </c>
      <c r="J493" s="10">
        <v>45934</v>
      </c>
      <c r="K493" s="10">
        <v>45946</v>
      </c>
      <c r="L493" s="11" t="s">
        <v>80</v>
      </c>
      <c r="M493" s="12">
        <f t="shared" si="35"/>
        <v>39923453.989999995</v>
      </c>
    </row>
    <row r="494" spans="1:13">
      <c r="A494" s="7">
        <v>491</v>
      </c>
      <c r="B494" s="24">
        <v>35</v>
      </c>
      <c r="C494" s="24">
        <v>3</v>
      </c>
      <c r="D494" s="15">
        <v>10</v>
      </c>
      <c r="E494" s="15">
        <v>7378</v>
      </c>
      <c r="F494" s="22">
        <v>11</v>
      </c>
      <c r="G494" s="22">
        <v>10</v>
      </c>
      <c r="H494" s="7">
        <f>221+39+112+234+79</f>
        <v>685</v>
      </c>
      <c r="I494" s="9">
        <f t="shared" si="34"/>
        <v>288</v>
      </c>
      <c r="J494" s="10">
        <v>45937</v>
      </c>
      <c r="K494" s="10">
        <v>45948</v>
      </c>
      <c r="L494" s="11" t="s">
        <v>424</v>
      </c>
      <c r="M494" s="12">
        <f t="shared" si="35"/>
        <v>105589057.84999999</v>
      </c>
    </row>
    <row r="495" spans="1:13">
      <c r="A495" s="7">
        <v>492</v>
      </c>
      <c r="B495" s="24">
        <v>29</v>
      </c>
      <c r="C495" s="24">
        <v>3</v>
      </c>
      <c r="D495" s="15">
        <v>10</v>
      </c>
      <c r="E495" s="15">
        <v>6067</v>
      </c>
      <c r="F495" s="22">
        <v>16</v>
      </c>
      <c r="G495" s="22">
        <v>10</v>
      </c>
      <c r="H495" s="7">
        <f>177+392+72</f>
        <v>641</v>
      </c>
      <c r="I495" s="9">
        <f t="shared" si="34"/>
        <v>720</v>
      </c>
      <c r="J495" s="10">
        <v>45920</v>
      </c>
      <c r="K495" s="10">
        <v>45949</v>
      </c>
      <c r="L495" s="11" t="s">
        <v>425</v>
      </c>
      <c r="M495" s="12">
        <f t="shared" si="35"/>
        <v>98806695.00999999</v>
      </c>
    </row>
    <row r="496" spans="1:13" ht="16.5">
      <c r="A496" s="7">
        <v>493</v>
      </c>
      <c r="B496" s="24">
        <v>24</v>
      </c>
      <c r="C496" s="24">
        <v>3</v>
      </c>
      <c r="D496" s="15">
        <v>10</v>
      </c>
      <c r="E496" s="15">
        <v>5536</v>
      </c>
      <c r="F496" s="22">
        <v>74</v>
      </c>
      <c r="G496" s="22">
        <v>13</v>
      </c>
      <c r="H496" s="7">
        <f>234</f>
        <v>234</v>
      </c>
      <c r="I496" s="9">
        <f t="shared" si="34"/>
        <v>336</v>
      </c>
      <c r="J496" s="10">
        <v>45942</v>
      </c>
      <c r="K496" s="10">
        <v>45955</v>
      </c>
      <c r="L496" s="19" t="s">
        <v>22</v>
      </c>
      <c r="M496" s="12">
        <f t="shared" si="35"/>
        <v>36069838.739999995</v>
      </c>
    </row>
    <row r="497" spans="1:13">
      <c r="A497" s="7">
        <v>494</v>
      </c>
      <c r="B497" s="24">
        <v>25</v>
      </c>
      <c r="C497" s="24">
        <v>3</v>
      </c>
      <c r="D497" s="15">
        <v>10</v>
      </c>
      <c r="E497" s="15">
        <v>7572</v>
      </c>
      <c r="F497" s="22">
        <v>76</v>
      </c>
      <c r="G497" s="22">
        <v>5</v>
      </c>
      <c r="H497" s="7">
        <f>112+39+39+29+79</f>
        <v>298</v>
      </c>
      <c r="I497" s="9">
        <f t="shared" si="34"/>
        <v>720</v>
      </c>
      <c r="J497" s="10">
        <v>45927</v>
      </c>
      <c r="K497" s="10">
        <v>45956</v>
      </c>
      <c r="L497" s="11" t="s">
        <v>164</v>
      </c>
      <c r="M497" s="12">
        <f t="shared" si="35"/>
        <v>45935093.779999994</v>
      </c>
    </row>
    <row r="498" spans="1:13">
      <c r="A498" s="7">
        <v>495</v>
      </c>
      <c r="B498" s="7">
        <v>26</v>
      </c>
      <c r="C498" s="24">
        <v>3</v>
      </c>
      <c r="D498" s="15">
        <v>10</v>
      </c>
      <c r="E498" s="7">
        <v>5990</v>
      </c>
      <c r="F498" s="22" t="s">
        <v>128</v>
      </c>
      <c r="G498" s="22" t="s">
        <v>13</v>
      </c>
      <c r="H498" s="7">
        <f>140+39+82</f>
        <v>261</v>
      </c>
      <c r="I498" s="9">
        <f t="shared" si="34"/>
        <v>312</v>
      </c>
      <c r="J498" s="10">
        <v>45945</v>
      </c>
      <c r="K498" s="10">
        <v>45957</v>
      </c>
      <c r="L498" s="11" t="s">
        <v>86</v>
      </c>
      <c r="M498" s="12">
        <f t="shared" si="35"/>
        <v>40231743.209999993</v>
      </c>
    </row>
    <row r="499" spans="1:13">
      <c r="A499" s="7">
        <v>496</v>
      </c>
      <c r="B499" s="7">
        <v>27</v>
      </c>
      <c r="C499" s="24">
        <v>3</v>
      </c>
      <c r="D499" s="15">
        <v>10</v>
      </c>
      <c r="E499" s="7">
        <v>3181</v>
      </c>
      <c r="F499" s="8">
        <v>8</v>
      </c>
      <c r="G499" s="8">
        <v>1</v>
      </c>
      <c r="H499" s="7">
        <f>221+37+39+234+79</f>
        <v>610</v>
      </c>
      <c r="I499" s="9">
        <f t="shared" si="34"/>
        <v>552</v>
      </c>
      <c r="J499" s="10">
        <v>45938</v>
      </c>
      <c r="K499" s="10">
        <v>45960</v>
      </c>
      <c r="L499" s="11" t="s">
        <v>426</v>
      </c>
      <c r="M499" s="12">
        <f t="shared" si="35"/>
        <v>94028212.099999994</v>
      </c>
    </row>
    <row r="500" spans="1:13">
      <c r="A500" s="7">
        <v>497</v>
      </c>
      <c r="B500" s="7">
        <v>28</v>
      </c>
      <c r="C500" s="24">
        <v>3</v>
      </c>
      <c r="D500" s="15">
        <v>10</v>
      </c>
      <c r="E500" s="7">
        <v>4334</v>
      </c>
      <c r="F500" s="8">
        <v>61</v>
      </c>
      <c r="G500" s="8">
        <v>1</v>
      </c>
      <c r="H500" s="7">
        <f>140+39+83</f>
        <v>262</v>
      </c>
      <c r="I500" s="9">
        <f t="shared" si="34"/>
        <v>336</v>
      </c>
      <c r="J500" s="10">
        <v>45946</v>
      </c>
      <c r="K500" s="10">
        <v>45959</v>
      </c>
      <c r="L500" s="11" t="s">
        <v>86</v>
      </c>
      <c r="M500" s="12">
        <f t="shared" si="35"/>
        <v>40385887.819999993</v>
      </c>
    </row>
    <row r="501" spans="1:13">
      <c r="A501" s="7">
        <v>498</v>
      </c>
      <c r="B501" s="7">
        <v>33</v>
      </c>
      <c r="C501" s="24">
        <v>3</v>
      </c>
      <c r="D501" s="15">
        <v>10</v>
      </c>
      <c r="E501" s="7">
        <v>7643</v>
      </c>
      <c r="F501" s="8">
        <v>81</v>
      </c>
      <c r="G501" s="8">
        <v>5</v>
      </c>
      <c r="H501" s="7">
        <f>112+39+72</f>
        <v>223</v>
      </c>
      <c r="I501" s="9">
        <f t="shared" si="34"/>
        <v>720</v>
      </c>
      <c r="J501" s="10">
        <v>45931</v>
      </c>
      <c r="K501" s="10">
        <v>45960</v>
      </c>
      <c r="L501" s="11" t="s">
        <v>130</v>
      </c>
      <c r="M501" s="12">
        <f t="shared" si="35"/>
        <v>34374248.029999994</v>
      </c>
    </row>
    <row r="502" spans="1:13">
      <c r="A502" s="7">
        <v>499</v>
      </c>
      <c r="B502" s="7">
        <v>32</v>
      </c>
      <c r="C502" s="24">
        <v>3</v>
      </c>
      <c r="D502" s="15">
        <v>10</v>
      </c>
      <c r="E502" s="7">
        <v>3187</v>
      </c>
      <c r="F502" s="8">
        <v>61</v>
      </c>
      <c r="G502" s="8">
        <v>1</v>
      </c>
      <c r="H502" s="7">
        <f>221+39+45+79</f>
        <v>384</v>
      </c>
      <c r="I502" s="9">
        <f t="shared" si="34"/>
        <v>504</v>
      </c>
      <c r="J502" s="10">
        <v>45941</v>
      </c>
      <c r="K502" s="10">
        <v>45961</v>
      </c>
      <c r="L502" s="11" t="s">
        <v>410</v>
      </c>
      <c r="M502" s="12">
        <f t="shared" si="35"/>
        <v>59191530.239999995</v>
      </c>
    </row>
    <row r="503" spans="1:13" ht="16.5">
      <c r="A503" s="7">
        <v>500</v>
      </c>
      <c r="B503" s="24">
        <v>30</v>
      </c>
      <c r="C503" s="24">
        <v>3</v>
      </c>
      <c r="D503" s="7">
        <v>11</v>
      </c>
      <c r="E503" s="15">
        <v>8511</v>
      </c>
      <c r="F503" s="8">
        <v>81</v>
      </c>
      <c r="G503" s="8">
        <v>11</v>
      </c>
      <c r="H503" s="7">
        <f>140+39+90</f>
        <v>269</v>
      </c>
      <c r="I503" s="9">
        <f t="shared" si="34"/>
        <v>408</v>
      </c>
      <c r="J503" s="10">
        <v>45947</v>
      </c>
      <c r="K503" s="10">
        <v>45963</v>
      </c>
      <c r="L503" s="19" t="s">
        <v>40</v>
      </c>
      <c r="M503" s="12">
        <f t="shared" si="35"/>
        <v>41464900.089999996</v>
      </c>
    </row>
    <row r="504" spans="1:13">
      <c r="A504" s="7">
        <v>501</v>
      </c>
      <c r="B504" s="24">
        <v>26</v>
      </c>
      <c r="C504" s="24">
        <v>3</v>
      </c>
      <c r="D504" s="7">
        <v>11</v>
      </c>
      <c r="E504" s="15">
        <v>9938</v>
      </c>
      <c r="F504" s="22" t="s">
        <v>96</v>
      </c>
      <c r="G504" s="22" t="s">
        <v>13</v>
      </c>
      <c r="H504" s="7">
        <f>221+39+82</f>
        <v>342</v>
      </c>
      <c r="I504" s="9">
        <f t="shared" si="34"/>
        <v>144</v>
      </c>
      <c r="J504" s="10">
        <v>45958</v>
      </c>
      <c r="K504" s="10">
        <v>45963</v>
      </c>
      <c r="L504" s="11" t="s">
        <v>19</v>
      </c>
      <c r="M504" s="12">
        <f t="shared" si="35"/>
        <v>52717456.619999997</v>
      </c>
    </row>
    <row r="505" spans="1:13">
      <c r="A505" s="7">
        <v>502</v>
      </c>
      <c r="B505" s="24">
        <v>29</v>
      </c>
      <c r="C505" s="24">
        <v>3</v>
      </c>
      <c r="D505" s="7">
        <v>11</v>
      </c>
      <c r="E505" s="15">
        <v>8863</v>
      </c>
      <c r="F505" s="15">
        <v>81</v>
      </c>
      <c r="G505" s="15">
        <v>5</v>
      </c>
      <c r="H505" s="7">
        <f>177+39+45+90</f>
        <v>351</v>
      </c>
      <c r="I505" s="9">
        <f t="shared" si="34"/>
        <v>432</v>
      </c>
      <c r="J505" s="10">
        <v>45950</v>
      </c>
      <c r="K505" s="10">
        <v>45967</v>
      </c>
      <c r="L505" s="11" t="s">
        <v>449</v>
      </c>
      <c r="M505" s="12">
        <f t="shared" si="35"/>
        <v>54104758.109999992</v>
      </c>
    </row>
    <row r="506" spans="1:13" ht="31.5">
      <c r="A506" s="7">
        <v>503</v>
      </c>
      <c r="B506" s="24">
        <v>31</v>
      </c>
      <c r="C506" s="24">
        <v>3</v>
      </c>
      <c r="D506" s="7">
        <v>11</v>
      </c>
      <c r="E506" s="15">
        <v>2754</v>
      </c>
      <c r="F506" s="22">
        <v>81</v>
      </c>
      <c r="G506" s="22">
        <v>5</v>
      </c>
      <c r="H506" s="7">
        <f>268+45+164+29+72</f>
        <v>578</v>
      </c>
      <c r="I506" s="9">
        <f t="shared" si="34"/>
        <v>600</v>
      </c>
      <c r="J506" s="10">
        <v>45944</v>
      </c>
      <c r="K506" s="10">
        <v>45968</v>
      </c>
      <c r="L506" s="11" t="s">
        <v>450</v>
      </c>
      <c r="M506" s="12">
        <f t="shared" si="35"/>
        <v>89095584.579999998</v>
      </c>
    </row>
    <row r="507" spans="1:13">
      <c r="A507" s="7">
        <v>504</v>
      </c>
      <c r="B507" s="24">
        <v>28</v>
      </c>
      <c r="C507" s="24">
        <v>3</v>
      </c>
      <c r="D507" s="7">
        <v>11</v>
      </c>
      <c r="E507" s="15">
        <v>4248</v>
      </c>
      <c r="F507" s="22">
        <v>76</v>
      </c>
      <c r="G507" s="22">
        <v>5</v>
      </c>
      <c r="H507" s="7">
        <f>177+39+90</f>
        <v>306</v>
      </c>
      <c r="I507" s="9">
        <f t="shared" si="34"/>
        <v>192</v>
      </c>
      <c r="J507" s="10">
        <v>45960</v>
      </c>
      <c r="K507" s="10">
        <v>45967</v>
      </c>
      <c r="L507" s="11" t="s">
        <v>52</v>
      </c>
      <c r="M507" s="12">
        <f t="shared" ref="M507:M538" si="36">H507*154144.61</f>
        <v>47168250.659999996</v>
      </c>
    </row>
    <row r="508" spans="1:13">
      <c r="A508" s="7">
        <v>505</v>
      </c>
      <c r="B508" s="24">
        <v>26</v>
      </c>
      <c r="C508" s="24">
        <v>3</v>
      </c>
      <c r="D508" s="7">
        <v>11</v>
      </c>
      <c r="E508" s="15">
        <v>3058</v>
      </c>
      <c r="F508" s="22" t="s">
        <v>25</v>
      </c>
      <c r="G508" s="22" t="s">
        <v>13</v>
      </c>
      <c r="H508" s="7">
        <f>221+39+71</f>
        <v>331</v>
      </c>
      <c r="I508" s="9">
        <f t="shared" si="34"/>
        <v>144</v>
      </c>
      <c r="J508" s="10">
        <v>45939</v>
      </c>
      <c r="K508" s="10">
        <v>45944</v>
      </c>
      <c r="L508" s="11" t="s">
        <v>19</v>
      </c>
      <c r="M508" s="12">
        <f t="shared" si="36"/>
        <v>51021865.909999996</v>
      </c>
    </row>
    <row r="509" spans="1:13">
      <c r="A509" s="7">
        <v>506</v>
      </c>
      <c r="B509" s="24">
        <v>25</v>
      </c>
      <c r="C509" s="24">
        <v>3</v>
      </c>
      <c r="D509" s="7">
        <v>11</v>
      </c>
      <c r="E509" s="15">
        <v>9787</v>
      </c>
      <c r="F509" s="15">
        <v>80</v>
      </c>
      <c r="G509" s="15">
        <v>5</v>
      </c>
      <c r="H509" s="7">
        <f>221+39+90</f>
        <v>350</v>
      </c>
      <c r="I509" s="9">
        <f t="shared" si="34"/>
        <v>312</v>
      </c>
      <c r="J509" s="10">
        <v>45957</v>
      </c>
      <c r="K509" s="10">
        <v>45969</v>
      </c>
      <c r="L509" s="11" t="s">
        <v>19</v>
      </c>
      <c r="M509" s="12">
        <f t="shared" si="36"/>
        <v>53950613.499999993</v>
      </c>
    </row>
    <row r="510" spans="1:13">
      <c r="A510" s="7">
        <v>507</v>
      </c>
      <c r="B510" s="24">
        <v>35</v>
      </c>
      <c r="C510" s="24">
        <v>3</v>
      </c>
      <c r="D510" s="7">
        <v>11</v>
      </c>
      <c r="E510" s="15">
        <v>8322</v>
      </c>
      <c r="F510" s="15">
        <v>74</v>
      </c>
      <c r="G510" s="15">
        <v>13</v>
      </c>
      <c r="H510" s="7">
        <f>112+39+29+90</f>
        <v>270</v>
      </c>
      <c r="I510" s="9">
        <f t="shared" si="34"/>
        <v>576</v>
      </c>
      <c r="J510" s="10">
        <v>45949</v>
      </c>
      <c r="K510" s="10">
        <v>45972</v>
      </c>
      <c r="L510" s="11" t="s">
        <v>65</v>
      </c>
      <c r="M510" s="12">
        <f t="shared" si="36"/>
        <v>41619044.699999996</v>
      </c>
    </row>
    <row r="511" spans="1:13">
      <c r="A511" s="7">
        <v>508</v>
      </c>
      <c r="B511" s="24">
        <v>7</v>
      </c>
      <c r="C511" s="24">
        <v>3</v>
      </c>
      <c r="D511" s="7">
        <v>11</v>
      </c>
      <c r="E511" s="15">
        <v>9883</v>
      </c>
      <c r="F511" s="22">
        <v>68</v>
      </c>
      <c r="G511" s="22">
        <v>13</v>
      </c>
      <c r="H511" s="7">
        <f>392+29+90</f>
        <v>511</v>
      </c>
      <c r="I511" s="9">
        <f t="shared" si="34"/>
        <v>336</v>
      </c>
      <c r="J511" s="10">
        <v>45961</v>
      </c>
      <c r="K511" s="10">
        <v>45974</v>
      </c>
      <c r="L511" s="11" t="s">
        <v>37</v>
      </c>
      <c r="M511" s="12">
        <f t="shared" si="36"/>
        <v>78767895.709999993</v>
      </c>
    </row>
    <row r="512" spans="1:13" ht="31.5">
      <c r="A512" s="7">
        <v>509</v>
      </c>
      <c r="B512" s="24">
        <v>22</v>
      </c>
      <c r="C512" s="24">
        <v>3</v>
      </c>
      <c r="D512" s="7">
        <v>11</v>
      </c>
      <c r="E512" s="15">
        <v>6111</v>
      </c>
      <c r="F512" s="22">
        <v>65</v>
      </c>
      <c r="G512" s="22">
        <v>10</v>
      </c>
      <c r="H512" s="7">
        <f>268+39+234+39+37+79</f>
        <v>696</v>
      </c>
      <c r="I512" s="9">
        <f t="shared" si="34"/>
        <v>768</v>
      </c>
      <c r="J512" s="10">
        <v>45942</v>
      </c>
      <c r="K512" s="10">
        <v>45973</v>
      </c>
      <c r="L512" s="11" t="s">
        <v>430</v>
      </c>
      <c r="M512" s="12">
        <f t="shared" si="36"/>
        <v>107284648.55999999</v>
      </c>
    </row>
    <row r="513" spans="1:13">
      <c r="A513" s="7">
        <v>510</v>
      </c>
      <c r="B513" s="24">
        <v>34</v>
      </c>
      <c r="C513" s="24">
        <v>3</v>
      </c>
      <c r="D513" s="7">
        <v>11</v>
      </c>
      <c r="E513" s="15">
        <v>3176</v>
      </c>
      <c r="F513" s="22">
        <v>1</v>
      </c>
      <c r="G513" s="22">
        <v>1</v>
      </c>
      <c r="H513" s="7">
        <f>39+29+79</f>
        <v>147</v>
      </c>
      <c r="I513" s="9">
        <f t="shared" si="34"/>
        <v>1632</v>
      </c>
      <c r="J513" s="10">
        <v>45907</v>
      </c>
      <c r="K513" s="10">
        <v>45974</v>
      </c>
      <c r="L513" s="11" t="s">
        <v>431</v>
      </c>
      <c r="M513" s="12">
        <f t="shared" si="36"/>
        <v>22659257.669999998</v>
      </c>
    </row>
    <row r="514" spans="1:13">
      <c r="A514" s="7">
        <v>511</v>
      </c>
      <c r="B514" s="24">
        <v>24</v>
      </c>
      <c r="C514" s="24">
        <v>3</v>
      </c>
      <c r="D514" s="7">
        <v>11</v>
      </c>
      <c r="E514" s="15">
        <v>9301</v>
      </c>
      <c r="F514" s="22">
        <v>82</v>
      </c>
      <c r="G514" s="22">
        <v>5</v>
      </c>
      <c r="H514" s="7">
        <f>268+39+45+90</f>
        <v>442</v>
      </c>
      <c r="I514" s="9">
        <f t="shared" si="34"/>
        <v>456</v>
      </c>
      <c r="J514" s="10">
        <v>45956</v>
      </c>
      <c r="K514" s="10">
        <v>45974</v>
      </c>
      <c r="L514" s="11" t="s">
        <v>436</v>
      </c>
      <c r="M514" s="12">
        <f t="shared" si="36"/>
        <v>68131917.61999999</v>
      </c>
    </row>
    <row r="515" spans="1:13">
      <c r="A515" s="7">
        <v>512</v>
      </c>
      <c r="B515" s="24">
        <v>28</v>
      </c>
      <c r="C515" s="24">
        <v>3</v>
      </c>
      <c r="D515" s="7">
        <v>11</v>
      </c>
      <c r="E515" s="15">
        <v>6294</v>
      </c>
      <c r="F515" s="22">
        <v>92</v>
      </c>
      <c r="G515" s="22">
        <v>10</v>
      </c>
      <c r="H515" s="7">
        <f>140+39+83</f>
        <v>262</v>
      </c>
      <c r="I515" s="9">
        <f t="shared" si="34"/>
        <v>192</v>
      </c>
      <c r="J515" s="10">
        <v>45971</v>
      </c>
      <c r="K515" s="10">
        <v>45978</v>
      </c>
      <c r="L515" s="11" t="s">
        <v>86</v>
      </c>
      <c r="M515" s="12">
        <f t="shared" si="36"/>
        <v>40385887.819999993</v>
      </c>
    </row>
    <row r="516" spans="1:13">
      <c r="A516" s="7">
        <v>513</v>
      </c>
      <c r="B516" s="24">
        <v>22</v>
      </c>
      <c r="C516" s="24">
        <v>3</v>
      </c>
      <c r="D516" s="7">
        <v>11</v>
      </c>
      <c r="E516" s="15">
        <v>7309</v>
      </c>
      <c r="F516" s="22">
        <v>81</v>
      </c>
      <c r="G516" s="22">
        <v>5</v>
      </c>
      <c r="H516" s="7">
        <f>177+90</f>
        <v>267</v>
      </c>
      <c r="I516" s="9">
        <f t="shared" ref="I516:I579" si="37">(K516-J516+1)*24</f>
        <v>264</v>
      </c>
      <c r="J516" s="10">
        <v>45974</v>
      </c>
      <c r="K516" s="10">
        <v>45984</v>
      </c>
      <c r="L516" s="11" t="s">
        <v>189</v>
      </c>
      <c r="M516" s="12">
        <f t="shared" si="36"/>
        <v>41156610.869999997</v>
      </c>
    </row>
    <row r="517" spans="1:13">
      <c r="A517" s="7">
        <v>514</v>
      </c>
      <c r="B517" s="24">
        <v>26</v>
      </c>
      <c r="C517" s="24">
        <v>3</v>
      </c>
      <c r="D517" s="7">
        <v>11</v>
      </c>
      <c r="E517" s="15">
        <v>2087</v>
      </c>
      <c r="F517" s="22" t="s">
        <v>149</v>
      </c>
      <c r="G517" s="22" t="s">
        <v>13</v>
      </c>
      <c r="H517" s="7">
        <f>221+137+39+76</f>
        <v>473</v>
      </c>
      <c r="I517" s="9">
        <f t="shared" si="37"/>
        <v>528</v>
      </c>
      <c r="J517" s="10">
        <v>45964</v>
      </c>
      <c r="K517" s="10">
        <v>45985</v>
      </c>
      <c r="L517" s="11" t="s">
        <v>437</v>
      </c>
      <c r="M517" s="12">
        <f t="shared" si="36"/>
        <v>72910400.529999986</v>
      </c>
    </row>
    <row r="518" spans="1:13" ht="31.5">
      <c r="A518" s="7">
        <v>515</v>
      </c>
      <c r="B518" s="24">
        <v>23</v>
      </c>
      <c r="C518" s="24">
        <v>3</v>
      </c>
      <c r="D518" s="7">
        <v>11</v>
      </c>
      <c r="E518" s="15">
        <v>4095</v>
      </c>
      <c r="F518" s="22">
        <v>80</v>
      </c>
      <c r="G518" s="22">
        <v>5</v>
      </c>
      <c r="H518" s="8">
        <f>268+39+234+39+29+72</f>
        <v>681</v>
      </c>
      <c r="I518" s="9">
        <f t="shared" si="37"/>
        <v>1200</v>
      </c>
      <c r="J518" s="10">
        <v>45937</v>
      </c>
      <c r="K518" s="10">
        <v>45986</v>
      </c>
      <c r="L518" s="11" t="s">
        <v>456</v>
      </c>
      <c r="M518" s="12">
        <f t="shared" si="36"/>
        <v>104972479.41</v>
      </c>
    </row>
    <row r="519" spans="1:13">
      <c r="A519" s="7">
        <v>516</v>
      </c>
      <c r="B519" s="24">
        <v>7</v>
      </c>
      <c r="C519" s="24">
        <v>3</v>
      </c>
      <c r="D519" s="7">
        <v>11</v>
      </c>
      <c r="E519" s="15">
        <v>6077</v>
      </c>
      <c r="F519" s="22">
        <v>15</v>
      </c>
      <c r="G519" s="22">
        <v>13</v>
      </c>
      <c r="H519" s="7">
        <f>177+39+45+112+29+90</f>
        <v>492</v>
      </c>
      <c r="I519" s="9">
        <f t="shared" si="37"/>
        <v>336</v>
      </c>
      <c r="J519" s="10">
        <v>45975</v>
      </c>
      <c r="K519" s="10">
        <v>45988</v>
      </c>
      <c r="L519" s="11" t="s">
        <v>451</v>
      </c>
      <c r="M519" s="12">
        <f t="shared" si="36"/>
        <v>75839148.11999999</v>
      </c>
    </row>
    <row r="520" spans="1:13">
      <c r="A520" s="7">
        <v>517</v>
      </c>
      <c r="B520" s="24">
        <v>25</v>
      </c>
      <c r="C520" s="24">
        <v>3</v>
      </c>
      <c r="D520" s="7">
        <v>11</v>
      </c>
      <c r="E520" s="15">
        <v>6064</v>
      </c>
      <c r="F520" s="22">
        <v>62</v>
      </c>
      <c r="G520" s="22">
        <v>1</v>
      </c>
      <c r="H520" s="7">
        <f>112+39+37+29+90</f>
        <v>307</v>
      </c>
      <c r="I520" s="9">
        <f t="shared" si="37"/>
        <v>288</v>
      </c>
      <c r="J520" s="10">
        <v>45979</v>
      </c>
      <c r="K520" s="10">
        <v>45990</v>
      </c>
      <c r="L520" s="11" t="s">
        <v>452</v>
      </c>
      <c r="M520" s="12">
        <f t="shared" si="36"/>
        <v>47322395.269999996</v>
      </c>
    </row>
    <row r="521" spans="1:13">
      <c r="A521" s="7">
        <v>518</v>
      </c>
      <c r="B521" s="24">
        <v>31</v>
      </c>
      <c r="C521" s="24">
        <v>3</v>
      </c>
      <c r="D521" s="7">
        <v>11</v>
      </c>
      <c r="E521" s="15">
        <v>9305</v>
      </c>
      <c r="F521" s="22">
        <v>81</v>
      </c>
      <c r="G521" s="22">
        <v>5</v>
      </c>
      <c r="H521" s="7">
        <f>392+39+29+83</f>
        <v>543</v>
      </c>
      <c r="I521" s="9">
        <f t="shared" si="37"/>
        <v>504</v>
      </c>
      <c r="J521" s="10">
        <v>45969</v>
      </c>
      <c r="K521" s="10">
        <v>45989</v>
      </c>
      <c r="L521" s="11" t="s">
        <v>37</v>
      </c>
      <c r="M521" s="12">
        <f t="shared" si="36"/>
        <v>83700523.229999989</v>
      </c>
    </row>
    <row r="522" spans="1:13">
      <c r="A522" s="7">
        <v>519</v>
      </c>
      <c r="B522" s="24">
        <v>35</v>
      </c>
      <c r="C522" s="24">
        <v>3</v>
      </c>
      <c r="D522" s="7">
        <v>11</v>
      </c>
      <c r="E522" s="15">
        <v>9311</v>
      </c>
      <c r="F522" s="22">
        <v>81</v>
      </c>
      <c r="G522" s="22">
        <v>5</v>
      </c>
      <c r="H522" s="7">
        <f>177+39+140+83</f>
        <v>439</v>
      </c>
      <c r="I522" s="9">
        <f t="shared" si="37"/>
        <v>384</v>
      </c>
      <c r="J522" s="10">
        <v>45976</v>
      </c>
      <c r="K522" s="10">
        <v>45991</v>
      </c>
      <c r="L522" s="11" t="s">
        <v>455</v>
      </c>
      <c r="M522" s="12">
        <f t="shared" si="36"/>
        <v>67669483.789999992</v>
      </c>
    </row>
    <row r="523" spans="1:13">
      <c r="A523" s="7">
        <v>520</v>
      </c>
      <c r="B523" s="24">
        <v>23</v>
      </c>
      <c r="C523" s="24">
        <v>3</v>
      </c>
      <c r="D523" s="7">
        <v>12</v>
      </c>
      <c r="E523" s="15">
        <v>1086</v>
      </c>
      <c r="F523" s="8">
        <v>11</v>
      </c>
      <c r="G523" s="8">
        <v>10</v>
      </c>
      <c r="H523" s="7">
        <f>177+39+29+37+83</f>
        <v>365</v>
      </c>
      <c r="I523" s="9">
        <f t="shared" si="37"/>
        <v>240</v>
      </c>
      <c r="J523" s="10">
        <v>45987</v>
      </c>
      <c r="K523" s="10">
        <v>45996</v>
      </c>
      <c r="L523" s="11" t="s">
        <v>471</v>
      </c>
      <c r="M523" s="12">
        <f t="shared" si="36"/>
        <v>56262782.649999999</v>
      </c>
    </row>
    <row r="524" spans="1:13" ht="31.5">
      <c r="A524" s="7">
        <v>521</v>
      </c>
      <c r="B524" s="15">
        <v>30</v>
      </c>
      <c r="C524" s="24">
        <v>3</v>
      </c>
      <c r="D524" s="7">
        <v>12</v>
      </c>
      <c r="E524" s="15">
        <v>2839</v>
      </c>
      <c r="F524" s="7">
        <v>66</v>
      </c>
      <c r="G524" s="7">
        <v>10</v>
      </c>
      <c r="H524" s="7">
        <f>177+39+392+39+29+90</f>
        <v>766</v>
      </c>
      <c r="I524" s="9">
        <f t="shared" si="37"/>
        <v>792</v>
      </c>
      <c r="J524" s="10">
        <v>45964</v>
      </c>
      <c r="K524" s="10">
        <v>45996</v>
      </c>
      <c r="L524" s="11" t="s">
        <v>475</v>
      </c>
      <c r="M524" s="12">
        <f t="shared" si="36"/>
        <v>118074771.25999999</v>
      </c>
    </row>
    <row r="525" spans="1:13">
      <c r="A525" s="7">
        <v>522</v>
      </c>
      <c r="B525" s="15">
        <v>7</v>
      </c>
      <c r="C525" s="24">
        <v>3</v>
      </c>
      <c r="D525" s="7">
        <v>12</v>
      </c>
      <c r="E525" s="15">
        <v>9406</v>
      </c>
      <c r="F525" s="8">
        <v>73</v>
      </c>
      <c r="G525" s="8">
        <v>13</v>
      </c>
      <c r="H525" s="7">
        <f>177+90</f>
        <v>267</v>
      </c>
      <c r="I525" s="9">
        <f t="shared" si="37"/>
        <v>216</v>
      </c>
      <c r="J525" s="10">
        <v>45989</v>
      </c>
      <c r="K525" s="10">
        <v>45997</v>
      </c>
      <c r="L525" s="11" t="s">
        <v>189</v>
      </c>
      <c r="M525" s="12">
        <f t="shared" si="36"/>
        <v>41156610.869999997</v>
      </c>
    </row>
    <row r="526" spans="1:13">
      <c r="A526" s="7">
        <v>523</v>
      </c>
      <c r="B526" s="24">
        <v>26</v>
      </c>
      <c r="C526" s="24">
        <v>3</v>
      </c>
      <c r="D526" s="7">
        <v>12</v>
      </c>
      <c r="E526" s="15">
        <v>9776</v>
      </c>
      <c r="F526" s="8" t="s">
        <v>25</v>
      </c>
      <c r="G526" s="8" t="s">
        <v>13</v>
      </c>
      <c r="H526" s="7">
        <f>177+39+82</f>
        <v>298</v>
      </c>
      <c r="I526" s="9">
        <f t="shared" si="37"/>
        <v>264</v>
      </c>
      <c r="J526" s="10">
        <v>45986</v>
      </c>
      <c r="K526" s="10">
        <v>45996</v>
      </c>
      <c r="L526" s="11" t="s">
        <v>67</v>
      </c>
      <c r="M526" s="12">
        <f t="shared" si="36"/>
        <v>45935093.779999994</v>
      </c>
    </row>
    <row r="527" spans="1:13" ht="31.5">
      <c r="A527" s="7">
        <v>524</v>
      </c>
      <c r="B527" s="24">
        <v>33</v>
      </c>
      <c r="C527" s="24">
        <v>3</v>
      </c>
      <c r="D527" s="7">
        <v>12</v>
      </c>
      <c r="E527" s="15">
        <v>4323</v>
      </c>
      <c r="F527" s="22">
        <v>11</v>
      </c>
      <c r="G527" s="22">
        <v>10</v>
      </c>
      <c r="H527" s="7">
        <f>39+45+177+392+234+90</f>
        <v>977</v>
      </c>
      <c r="I527" s="9">
        <f t="shared" si="37"/>
        <v>936</v>
      </c>
      <c r="J527" s="10">
        <v>45961</v>
      </c>
      <c r="K527" s="10">
        <v>45999</v>
      </c>
      <c r="L527" s="11" t="s">
        <v>469</v>
      </c>
      <c r="M527" s="12">
        <f t="shared" si="36"/>
        <v>150599283.97</v>
      </c>
    </row>
    <row r="528" spans="1:13" ht="15.75" customHeight="1">
      <c r="A528" s="7">
        <v>525</v>
      </c>
      <c r="B528" s="24">
        <v>27</v>
      </c>
      <c r="C528" s="24">
        <v>3</v>
      </c>
      <c r="D528" s="7">
        <v>12</v>
      </c>
      <c r="E528" s="15">
        <v>5272</v>
      </c>
      <c r="F528" s="22">
        <v>2</v>
      </c>
      <c r="G528" s="22">
        <v>13</v>
      </c>
      <c r="H528" s="7">
        <f>40+90</f>
        <v>130</v>
      </c>
      <c r="I528" s="9">
        <f t="shared" si="37"/>
        <v>1008</v>
      </c>
      <c r="J528" s="10">
        <v>45961</v>
      </c>
      <c r="K528" s="10">
        <v>46002</v>
      </c>
      <c r="L528" s="11" t="s">
        <v>472</v>
      </c>
      <c r="M528" s="12">
        <f t="shared" si="36"/>
        <v>20038799.299999997</v>
      </c>
    </row>
    <row r="529" spans="1:13">
      <c r="A529" s="7">
        <v>526</v>
      </c>
      <c r="B529" s="24">
        <v>7</v>
      </c>
      <c r="C529" s="24">
        <v>3</v>
      </c>
      <c r="D529" s="7">
        <v>12</v>
      </c>
      <c r="E529" s="15">
        <v>8390</v>
      </c>
      <c r="F529" s="15">
        <v>68</v>
      </c>
      <c r="G529" s="15">
        <v>13</v>
      </c>
      <c r="H529" s="7">
        <f>221+90</f>
        <v>311</v>
      </c>
      <c r="I529" s="9">
        <f t="shared" si="37"/>
        <v>216</v>
      </c>
      <c r="J529" s="10">
        <v>45998</v>
      </c>
      <c r="K529" s="10">
        <v>46006</v>
      </c>
      <c r="L529" s="11" t="s">
        <v>78</v>
      </c>
      <c r="M529" s="12">
        <f t="shared" si="36"/>
        <v>47938973.709999993</v>
      </c>
    </row>
    <row r="530" spans="1:13">
      <c r="A530" s="7">
        <v>527</v>
      </c>
      <c r="B530" s="24">
        <v>29</v>
      </c>
      <c r="C530" s="24">
        <v>3</v>
      </c>
      <c r="D530" s="7">
        <v>12</v>
      </c>
      <c r="E530" s="15">
        <v>6074</v>
      </c>
      <c r="F530" s="15">
        <v>11</v>
      </c>
      <c r="G530" s="15">
        <v>10</v>
      </c>
      <c r="H530" s="7">
        <f>392+83</f>
        <v>475</v>
      </c>
      <c r="I530" s="9">
        <f t="shared" si="37"/>
        <v>936</v>
      </c>
      <c r="J530" s="10">
        <v>45968</v>
      </c>
      <c r="K530" s="10">
        <v>46006</v>
      </c>
      <c r="L530" s="11" t="s">
        <v>118</v>
      </c>
      <c r="M530" s="12">
        <f t="shared" si="36"/>
        <v>73218689.75</v>
      </c>
    </row>
    <row r="531" spans="1:13">
      <c r="A531" s="7">
        <v>528</v>
      </c>
      <c r="B531" s="24">
        <v>25</v>
      </c>
      <c r="C531" s="24">
        <v>3</v>
      </c>
      <c r="D531" s="7">
        <v>12</v>
      </c>
      <c r="E531" s="15">
        <v>3068</v>
      </c>
      <c r="F531" s="22">
        <v>68</v>
      </c>
      <c r="G531" s="22">
        <v>13</v>
      </c>
      <c r="H531" s="7">
        <f>221+39+45+90</f>
        <v>395</v>
      </c>
      <c r="I531" s="9">
        <f t="shared" si="37"/>
        <v>408</v>
      </c>
      <c r="J531" s="10">
        <v>45991</v>
      </c>
      <c r="K531" s="10">
        <v>46007</v>
      </c>
      <c r="L531" s="11" t="s">
        <v>182</v>
      </c>
      <c r="M531" s="12">
        <f t="shared" si="36"/>
        <v>60887120.949999996</v>
      </c>
    </row>
    <row r="532" spans="1:13">
      <c r="A532" s="7">
        <v>529</v>
      </c>
      <c r="B532" s="24">
        <v>23</v>
      </c>
      <c r="C532" s="24">
        <v>3</v>
      </c>
      <c r="D532" s="7">
        <v>12</v>
      </c>
      <c r="E532" s="15">
        <v>9867</v>
      </c>
      <c r="F532" s="22">
        <v>15</v>
      </c>
      <c r="G532" s="22">
        <v>13</v>
      </c>
      <c r="H532" s="7">
        <f>140+39+90</f>
        <v>269</v>
      </c>
      <c r="I532" s="9">
        <f t="shared" si="37"/>
        <v>288</v>
      </c>
      <c r="J532" s="10">
        <v>45997</v>
      </c>
      <c r="K532" s="10">
        <v>46008</v>
      </c>
      <c r="L532" s="11" t="s">
        <v>40</v>
      </c>
      <c r="M532" s="12">
        <f t="shared" si="36"/>
        <v>41464900.089999996</v>
      </c>
    </row>
    <row r="533" spans="1:13" ht="31.5">
      <c r="A533" s="7">
        <v>530</v>
      </c>
      <c r="B533" s="24">
        <v>34</v>
      </c>
      <c r="C533" s="24">
        <v>3</v>
      </c>
      <c r="D533" s="7">
        <v>12</v>
      </c>
      <c r="E533" s="15">
        <v>6809</v>
      </c>
      <c r="F533" s="22">
        <v>73</v>
      </c>
      <c r="G533" s="22">
        <v>13</v>
      </c>
      <c r="H533" s="7">
        <f>177+164+39+29+90</f>
        <v>499</v>
      </c>
      <c r="I533" s="9">
        <f t="shared" si="37"/>
        <v>840</v>
      </c>
      <c r="J533" s="10">
        <v>45975</v>
      </c>
      <c r="K533" s="10">
        <v>46009</v>
      </c>
      <c r="L533" s="11" t="s">
        <v>377</v>
      </c>
      <c r="M533" s="12">
        <f t="shared" si="36"/>
        <v>76918160.389999986</v>
      </c>
    </row>
    <row r="534" spans="1:13">
      <c r="A534" s="7">
        <v>531</v>
      </c>
      <c r="B534" s="24">
        <v>31</v>
      </c>
      <c r="C534" s="24">
        <v>3</v>
      </c>
      <c r="D534" s="7">
        <v>12</v>
      </c>
      <c r="E534" s="15">
        <v>4663</v>
      </c>
      <c r="F534" s="22">
        <v>15</v>
      </c>
      <c r="G534" s="22">
        <v>13</v>
      </c>
      <c r="H534" s="7">
        <f>221+39+37+90</f>
        <v>387</v>
      </c>
      <c r="I534" s="9">
        <f t="shared" si="37"/>
        <v>432</v>
      </c>
      <c r="J534" s="10">
        <v>45996</v>
      </c>
      <c r="K534" s="10">
        <v>46013</v>
      </c>
      <c r="L534" s="11" t="s">
        <v>473</v>
      </c>
      <c r="M534" s="12">
        <f t="shared" si="36"/>
        <v>59653964.069999993</v>
      </c>
    </row>
    <row r="535" spans="1:13" ht="31.5">
      <c r="A535" s="7">
        <v>532</v>
      </c>
      <c r="B535" s="24">
        <v>24</v>
      </c>
      <c r="C535" s="24">
        <v>3</v>
      </c>
      <c r="D535" s="7">
        <v>12</v>
      </c>
      <c r="E535" s="15">
        <v>5007</v>
      </c>
      <c r="F535" s="22">
        <v>76</v>
      </c>
      <c r="G535" s="22">
        <v>5</v>
      </c>
      <c r="H535" s="7">
        <f>177+39+45+234+29+90</f>
        <v>614</v>
      </c>
      <c r="I535" s="9">
        <f t="shared" si="37"/>
        <v>864</v>
      </c>
      <c r="J535" s="10">
        <v>45979</v>
      </c>
      <c r="K535" s="10">
        <v>46014</v>
      </c>
      <c r="L535" s="11" t="s">
        <v>476</v>
      </c>
      <c r="M535" s="12">
        <f t="shared" si="36"/>
        <v>94644790.539999992</v>
      </c>
    </row>
    <row r="536" spans="1:13">
      <c r="A536" s="7">
        <v>533</v>
      </c>
      <c r="B536" s="24">
        <v>32</v>
      </c>
      <c r="C536" s="24">
        <v>3</v>
      </c>
      <c r="D536" s="7">
        <v>12</v>
      </c>
      <c r="E536" s="15">
        <v>6616</v>
      </c>
      <c r="F536" s="22">
        <v>8</v>
      </c>
      <c r="G536" s="22">
        <v>1</v>
      </c>
      <c r="H536" s="7">
        <f>39+29+137+90</f>
        <v>295</v>
      </c>
      <c r="I536" s="9">
        <f t="shared" si="37"/>
        <v>1296</v>
      </c>
      <c r="J536" s="10">
        <v>45961</v>
      </c>
      <c r="K536" s="10">
        <v>46014</v>
      </c>
      <c r="L536" s="11" t="s">
        <v>474</v>
      </c>
      <c r="M536" s="12">
        <f t="shared" si="36"/>
        <v>45472659.949999996</v>
      </c>
    </row>
    <row r="537" spans="1:13">
      <c r="A537" s="7">
        <v>534</v>
      </c>
      <c r="B537" s="24">
        <v>23</v>
      </c>
      <c r="C537" s="24">
        <v>3</v>
      </c>
      <c r="D537" s="7">
        <v>12</v>
      </c>
      <c r="E537" s="15">
        <v>5809</v>
      </c>
      <c r="F537" s="22">
        <v>81</v>
      </c>
      <c r="G537" s="22">
        <v>1</v>
      </c>
      <c r="H537" s="7">
        <f>221+37+29+90</f>
        <v>377</v>
      </c>
      <c r="I537" s="9">
        <f t="shared" si="37"/>
        <v>216</v>
      </c>
      <c r="J537" s="10">
        <v>46009</v>
      </c>
      <c r="K537" s="10">
        <v>46017</v>
      </c>
      <c r="L537" s="11" t="s">
        <v>470</v>
      </c>
      <c r="M537" s="12">
        <f t="shared" si="36"/>
        <v>58112517.969999991</v>
      </c>
    </row>
    <row r="538" spans="1:13">
      <c r="A538" s="7">
        <v>535</v>
      </c>
      <c r="B538" s="24">
        <v>28</v>
      </c>
      <c r="C538" s="24">
        <v>3</v>
      </c>
      <c r="D538" s="7">
        <v>12</v>
      </c>
      <c r="E538" s="15">
        <v>9758</v>
      </c>
      <c r="F538" s="8" t="s">
        <v>223</v>
      </c>
      <c r="G538" s="8" t="s">
        <v>13</v>
      </c>
      <c r="H538" s="7">
        <f>140+39+76</f>
        <v>255</v>
      </c>
      <c r="I538" s="9">
        <f t="shared" si="37"/>
        <v>432</v>
      </c>
      <c r="J538" s="10">
        <v>46004</v>
      </c>
      <c r="K538" s="10">
        <v>46021</v>
      </c>
      <c r="L538" s="11" t="s">
        <v>40</v>
      </c>
      <c r="M538" s="12">
        <f t="shared" si="36"/>
        <v>39306875.549999997</v>
      </c>
    </row>
    <row r="539" spans="1:13">
      <c r="A539" s="7">
        <v>536</v>
      </c>
      <c r="B539" s="24">
        <v>29</v>
      </c>
      <c r="C539" s="24">
        <v>3</v>
      </c>
      <c r="D539" s="7">
        <v>12</v>
      </c>
      <c r="E539" s="15">
        <v>3071</v>
      </c>
      <c r="F539" s="22">
        <v>15</v>
      </c>
      <c r="G539" s="22">
        <v>13</v>
      </c>
      <c r="H539" s="8">
        <f>112+39+29+90</f>
        <v>270</v>
      </c>
      <c r="I539" s="9">
        <f t="shared" si="37"/>
        <v>264</v>
      </c>
      <c r="J539" s="10">
        <v>46007</v>
      </c>
      <c r="K539" s="10">
        <v>46017</v>
      </c>
      <c r="L539" s="11" t="s">
        <v>65</v>
      </c>
      <c r="M539" s="12">
        <f t="shared" ref="M539:M570" si="38">H539*154144.61</f>
        <v>41619044.699999996</v>
      </c>
    </row>
    <row r="540" spans="1:13">
      <c r="A540" s="7">
        <v>537</v>
      </c>
      <c r="B540" s="25">
        <v>39</v>
      </c>
      <c r="C540" s="25">
        <v>4</v>
      </c>
      <c r="D540" s="8">
        <v>1</v>
      </c>
      <c r="E540" s="22">
        <v>301</v>
      </c>
      <c r="F540" s="15">
        <v>103</v>
      </c>
      <c r="G540" s="15">
        <v>7</v>
      </c>
      <c r="H540" s="7">
        <f>177+29+137+39+83</f>
        <v>465</v>
      </c>
      <c r="I540" s="9">
        <f t="shared" si="37"/>
        <v>600</v>
      </c>
      <c r="J540" s="10">
        <v>45620</v>
      </c>
      <c r="K540" s="10">
        <v>45644</v>
      </c>
      <c r="L540" s="14" t="s">
        <v>46</v>
      </c>
      <c r="M540" s="12">
        <f t="shared" si="38"/>
        <v>71677243.649999991</v>
      </c>
    </row>
    <row r="541" spans="1:13" ht="31.5">
      <c r="A541" s="7">
        <v>538</v>
      </c>
      <c r="B541" s="25">
        <v>43</v>
      </c>
      <c r="C541" s="25">
        <v>4</v>
      </c>
      <c r="D541" s="8">
        <v>1</v>
      </c>
      <c r="E541" s="22">
        <v>4196</v>
      </c>
      <c r="F541" s="15">
        <v>28</v>
      </c>
      <c r="G541" s="15">
        <v>4</v>
      </c>
      <c r="H541" s="7">
        <f>221+39+164+83</f>
        <v>507</v>
      </c>
      <c r="I541" s="9">
        <f t="shared" si="37"/>
        <v>648</v>
      </c>
      <c r="J541" s="10">
        <v>45627</v>
      </c>
      <c r="K541" s="10">
        <v>45653</v>
      </c>
      <c r="L541" s="11" t="s">
        <v>33</v>
      </c>
      <c r="M541" s="12">
        <f t="shared" si="38"/>
        <v>78151317.269999996</v>
      </c>
    </row>
    <row r="542" spans="1:13">
      <c r="A542" s="7">
        <v>539</v>
      </c>
      <c r="B542" s="7">
        <v>44</v>
      </c>
      <c r="C542" s="25">
        <v>4</v>
      </c>
      <c r="D542" s="8">
        <v>1</v>
      </c>
      <c r="E542" s="7">
        <v>7851</v>
      </c>
      <c r="F542" s="7" t="s">
        <v>20</v>
      </c>
      <c r="G542" s="7" t="s">
        <v>17</v>
      </c>
      <c r="H542" s="7">
        <f>177+39+82</f>
        <v>298</v>
      </c>
      <c r="I542" s="9">
        <f t="shared" si="37"/>
        <v>192</v>
      </c>
      <c r="J542" s="10">
        <v>45633</v>
      </c>
      <c r="K542" s="10">
        <v>45640</v>
      </c>
      <c r="L542" s="11" t="s">
        <v>32</v>
      </c>
      <c r="M542" s="12">
        <f t="shared" si="38"/>
        <v>45935093.779999994</v>
      </c>
    </row>
    <row r="543" spans="1:13">
      <c r="A543" s="7">
        <v>540</v>
      </c>
      <c r="B543" s="7">
        <v>43</v>
      </c>
      <c r="C543" s="25">
        <v>4</v>
      </c>
      <c r="D543" s="8">
        <v>1</v>
      </c>
      <c r="E543" s="7">
        <v>6643</v>
      </c>
      <c r="F543" s="7">
        <v>102</v>
      </c>
      <c r="G543" s="7">
        <v>4</v>
      </c>
      <c r="H543" s="7">
        <f>140+39+29+90</f>
        <v>298</v>
      </c>
      <c r="I543" s="9">
        <f t="shared" si="37"/>
        <v>216</v>
      </c>
      <c r="J543" s="10">
        <v>45654</v>
      </c>
      <c r="K543" s="10">
        <v>45662</v>
      </c>
      <c r="L543" s="11" t="s">
        <v>24</v>
      </c>
      <c r="M543" s="12">
        <f t="shared" si="38"/>
        <v>45935093.779999994</v>
      </c>
    </row>
    <row r="544" spans="1:13">
      <c r="A544" s="7">
        <v>541</v>
      </c>
      <c r="B544" s="15">
        <v>38</v>
      </c>
      <c r="C544" s="25">
        <v>4</v>
      </c>
      <c r="D544" s="8">
        <v>1</v>
      </c>
      <c r="E544" s="15">
        <v>5177</v>
      </c>
      <c r="F544" s="7" t="s">
        <v>18</v>
      </c>
      <c r="G544" s="7" t="s">
        <v>17</v>
      </c>
      <c r="H544" s="7">
        <f>221+37+39+82</f>
        <v>379</v>
      </c>
      <c r="I544" s="9">
        <f t="shared" si="37"/>
        <v>336</v>
      </c>
      <c r="J544" s="10">
        <v>45648</v>
      </c>
      <c r="K544" s="10">
        <v>45661</v>
      </c>
      <c r="L544" s="11" t="s">
        <v>45</v>
      </c>
      <c r="M544" s="12">
        <f t="shared" si="38"/>
        <v>58420807.189999998</v>
      </c>
    </row>
    <row r="545" spans="1:13">
      <c r="A545" s="7">
        <v>542</v>
      </c>
      <c r="B545" s="15">
        <v>45</v>
      </c>
      <c r="C545" s="25">
        <v>4</v>
      </c>
      <c r="D545" s="8">
        <v>1</v>
      </c>
      <c r="E545" s="15">
        <v>247</v>
      </c>
      <c r="F545" s="8">
        <v>79</v>
      </c>
      <c r="G545" s="8">
        <v>7</v>
      </c>
      <c r="H545" s="7">
        <f>234+90</f>
        <v>324</v>
      </c>
      <c r="I545" s="9">
        <f t="shared" si="37"/>
        <v>240</v>
      </c>
      <c r="J545" s="10">
        <v>45658</v>
      </c>
      <c r="K545" s="10">
        <v>45667</v>
      </c>
      <c r="L545" s="14" t="s">
        <v>22</v>
      </c>
      <c r="M545" s="12">
        <f t="shared" si="38"/>
        <v>49942853.639999993</v>
      </c>
    </row>
    <row r="546" spans="1:13">
      <c r="A546" s="7">
        <v>543</v>
      </c>
      <c r="B546" s="15">
        <v>41</v>
      </c>
      <c r="C546" s="25">
        <v>4</v>
      </c>
      <c r="D546" s="8">
        <v>1</v>
      </c>
      <c r="E546" s="15">
        <v>403</v>
      </c>
      <c r="F546" s="8">
        <v>104</v>
      </c>
      <c r="G546" s="8">
        <v>7</v>
      </c>
      <c r="H546" s="7">
        <f>221+112+39+83</f>
        <v>455</v>
      </c>
      <c r="I546" s="9">
        <f t="shared" si="37"/>
        <v>528</v>
      </c>
      <c r="J546" s="10">
        <v>45644</v>
      </c>
      <c r="K546" s="10">
        <v>45665</v>
      </c>
      <c r="L546" s="26" t="s">
        <v>44</v>
      </c>
      <c r="M546" s="12">
        <f t="shared" si="38"/>
        <v>70135797.549999997</v>
      </c>
    </row>
    <row r="547" spans="1:13">
      <c r="A547" s="7">
        <v>544</v>
      </c>
      <c r="B547" s="15">
        <v>40</v>
      </c>
      <c r="C547" s="25">
        <v>4</v>
      </c>
      <c r="D547" s="8">
        <v>1</v>
      </c>
      <c r="E547" s="15">
        <v>6629</v>
      </c>
      <c r="F547" s="8">
        <v>102</v>
      </c>
      <c r="G547" s="8">
        <v>4</v>
      </c>
      <c r="H547" s="7">
        <f>140+39+29+90</f>
        <v>298</v>
      </c>
      <c r="I547" s="9">
        <f t="shared" si="37"/>
        <v>240</v>
      </c>
      <c r="J547" s="10">
        <v>45657</v>
      </c>
      <c r="K547" s="10">
        <v>45666</v>
      </c>
      <c r="L547" s="11" t="s">
        <v>24</v>
      </c>
      <c r="M547" s="12">
        <f t="shared" si="38"/>
        <v>45935093.779999994</v>
      </c>
    </row>
    <row r="548" spans="1:13">
      <c r="A548" s="7">
        <v>545</v>
      </c>
      <c r="B548" s="15">
        <v>42</v>
      </c>
      <c r="C548" s="25">
        <v>4</v>
      </c>
      <c r="D548" s="8">
        <v>1</v>
      </c>
      <c r="E548" s="15">
        <v>741</v>
      </c>
      <c r="F548" s="8">
        <v>79</v>
      </c>
      <c r="G548" s="8">
        <v>7</v>
      </c>
      <c r="H548" s="7">
        <f>45+234+39+29</f>
        <v>347</v>
      </c>
      <c r="I548" s="9">
        <f t="shared" si="37"/>
        <v>360</v>
      </c>
      <c r="J548" s="10">
        <v>45653</v>
      </c>
      <c r="K548" s="10">
        <v>45667</v>
      </c>
      <c r="L548" s="26" t="s">
        <v>58</v>
      </c>
      <c r="M548" s="12">
        <f t="shared" si="38"/>
        <v>53488179.669999994</v>
      </c>
    </row>
    <row r="549" spans="1:13" ht="31.5">
      <c r="A549" s="7">
        <v>546</v>
      </c>
      <c r="B549" s="15">
        <v>8</v>
      </c>
      <c r="C549" s="25">
        <v>4</v>
      </c>
      <c r="D549" s="8">
        <v>1</v>
      </c>
      <c r="E549" s="15">
        <v>9</v>
      </c>
      <c r="F549" s="36" t="s">
        <v>29</v>
      </c>
      <c r="G549" s="36"/>
      <c r="H549" s="7">
        <f>177+39+82</f>
        <v>298</v>
      </c>
      <c r="I549" s="9">
        <f t="shared" si="37"/>
        <v>288</v>
      </c>
      <c r="J549" s="10">
        <v>45654</v>
      </c>
      <c r="K549" s="10">
        <v>45665</v>
      </c>
      <c r="L549" s="26" t="s">
        <v>67</v>
      </c>
      <c r="M549" s="12">
        <f t="shared" si="38"/>
        <v>45935093.779999994</v>
      </c>
    </row>
    <row r="550" spans="1:13">
      <c r="A550" s="7">
        <v>547</v>
      </c>
      <c r="B550" s="15">
        <v>39</v>
      </c>
      <c r="C550" s="25">
        <v>4</v>
      </c>
      <c r="D550" s="8">
        <v>1</v>
      </c>
      <c r="E550" s="15">
        <v>5464</v>
      </c>
      <c r="F550" s="7" t="s">
        <v>18</v>
      </c>
      <c r="G550" s="7" t="s">
        <v>17</v>
      </c>
      <c r="H550" s="7">
        <f>221+39+82</f>
        <v>342</v>
      </c>
      <c r="I550" s="9">
        <f t="shared" si="37"/>
        <v>696</v>
      </c>
      <c r="J550" s="10">
        <v>45645</v>
      </c>
      <c r="K550" s="10">
        <v>45673</v>
      </c>
      <c r="L550" s="11" t="s">
        <v>43</v>
      </c>
      <c r="M550" s="12">
        <f t="shared" si="38"/>
        <v>52717456.619999997</v>
      </c>
    </row>
    <row r="551" spans="1:13">
      <c r="A551" s="7">
        <v>548</v>
      </c>
      <c r="B551" s="15">
        <v>40</v>
      </c>
      <c r="C551" s="25">
        <v>4</v>
      </c>
      <c r="D551" s="8">
        <v>1</v>
      </c>
      <c r="E551" s="15">
        <v>6202</v>
      </c>
      <c r="F551" s="15">
        <v>102</v>
      </c>
      <c r="G551" s="15">
        <v>4</v>
      </c>
      <c r="H551" s="7">
        <f>221+39+37+90</f>
        <v>387</v>
      </c>
      <c r="I551" s="9">
        <f t="shared" si="37"/>
        <v>192</v>
      </c>
      <c r="J551" s="10">
        <v>45667</v>
      </c>
      <c r="K551" s="10">
        <v>45674</v>
      </c>
      <c r="L551" s="11" t="s">
        <v>42</v>
      </c>
      <c r="M551" s="12">
        <f t="shared" si="38"/>
        <v>59653964.069999993</v>
      </c>
    </row>
    <row r="552" spans="1:13">
      <c r="A552" s="7">
        <v>549</v>
      </c>
      <c r="B552" s="15">
        <v>42</v>
      </c>
      <c r="C552" s="25">
        <v>4</v>
      </c>
      <c r="D552" s="8">
        <v>1</v>
      </c>
      <c r="E552" s="15">
        <v>581</v>
      </c>
      <c r="F552" s="15">
        <v>103</v>
      </c>
      <c r="G552" s="15">
        <v>7</v>
      </c>
      <c r="H552" s="7">
        <f>29+45+90</f>
        <v>164</v>
      </c>
      <c r="I552" s="9">
        <f t="shared" si="37"/>
        <v>240</v>
      </c>
      <c r="J552" s="10">
        <v>45668</v>
      </c>
      <c r="K552" s="10">
        <v>45677</v>
      </c>
      <c r="L552" s="11" t="s">
        <v>41</v>
      </c>
      <c r="M552" s="12">
        <f t="shared" si="38"/>
        <v>25279716.039999999</v>
      </c>
    </row>
    <row r="553" spans="1:13" ht="31.5">
      <c r="A553" s="7">
        <v>550</v>
      </c>
      <c r="B553" s="24">
        <v>8</v>
      </c>
      <c r="C553" s="25">
        <v>4</v>
      </c>
      <c r="D553" s="8">
        <v>1</v>
      </c>
      <c r="E553" s="15">
        <v>20</v>
      </c>
      <c r="F553" s="36" t="s">
        <v>29</v>
      </c>
      <c r="G553" s="36"/>
      <c r="H553" s="7">
        <f>177+39+39+82</f>
        <v>337</v>
      </c>
      <c r="I553" s="9">
        <f t="shared" si="37"/>
        <v>240</v>
      </c>
      <c r="J553" s="10">
        <v>45669</v>
      </c>
      <c r="K553" s="10">
        <v>45678</v>
      </c>
      <c r="L553" s="11" t="s">
        <v>56</v>
      </c>
      <c r="M553" s="12">
        <f t="shared" si="38"/>
        <v>51946733.569999993</v>
      </c>
    </row>
    <row r="554" spans="1:13">
      <c r="A554" s="7">
        <v>551</v>
      </c>
      <c r="B554" s="24">
        <v>45</v>
      </c>
      <c r="C554" s="25">
        <v>4</v>
      </c>
      <c r="D554" s="8">
        <v>1</v>
      </c>
      <c r="E554" s="15">
        <v>748</v>
      </c>
      <c r="F554" s="8">
        <v>121</v>
      </c>
      <c r="G554" s="8">
        <v>7</v>
      </c>
      <c r="H554" s="7">
        <f>202+29+90</f>
        <v>321</v>
      </c>
      <c r="I554" s="9">
        <f t="shared" si="37"/>
        <v>336</v>
      </c>
      <c r="J554" s="10">
        <v>45668</v>
      </c>
      <c r="K554" s="10">
        <v>45681</v>
      </c>
      <c r="L554" s="11" t="s">
        <v>68</v>
      </c>
      <c r="M554" s="12">
        <f t="shared" si="38"/>
        <v>49480419.809999995</v>
      </c>
    </row>
    <row r="555" spans="1:13" ht="16.5">
      <c r="A555" s="7">
        <v>552</v>
      </c>
      <c r="B555" s="24">
        <v>38</v>
      </c>
      <c r="C555" s="25">
        <v>4</v>
      </c>
      <c r="D555" s="8">
        <v>1</v>
      </c>
      <c r="E555" s="15">
        <v>2394</v>
      </c>
      <c r="F555" s="8">
        <v>102</v>
      </c>
      <c r="G555" s="8">
        <v>4</v>
      </c>
      <c r="H555" s="7">
        <f>392+39+29+83</f>
        <v>543</v>
      </c>
      <c r="I555" s="9">
        <f t="shared" si="37"/>
        <v>600</v>
      </c>
      <c r="J555" s="10">
        <v>45662</v>
      </c>
      <c r="K555" s="10">
        <v>45686</v>
      </c>
      <c r="L555" s="19" t="s">
        <v>37</v>
      </c>
      <c r="M555" s="12">
        <f t="shared" si="38"/>
        <v>83700523.229999989</v>
      </c>
    </row>
    <row r="556" spans="1:13">
      <c r="A556" s="7">
        <v>553</v>
      </c>
      <c r="B556" s="24">
        <v>43</v>
      </c>
      <c r="C556" s="24">
        <v>4</v>
      </c>
      <c r="D556" s="15">
        <v>2</v>
      </c>
      <c r="E556" s="15">
        <v>733</v>
      </c>
      <c r="F556" s="8">
        <v>107</v>
      </c>
      <c r="G556" s="8">
        <v>6</v>
      </c>
      <c r="H556" s="7">
        <f>177+45+39+39+29+90</f>
        <v>419</v>
      </c>
      <c r="I556" s="9">
        <f t="shared" si="37"/>
        <v>552</v>
      </c>
      <c r="J556" s="10">
        <v>45663</v>
      </c>
      <c r="K556" s="10">
        <v>45685</v>
      </c>
      <c r="L556" s="11" t="s">
        <v>92</v>
      </c>
      <c r="M556" s="12">
        <f t="shared" si="38"/>
        <v>64586591.589999996</v>
      </c>
    </row>
    <row r="557" spans="1:13">
      <c r="A557" s="7">
        <v>554</v>
      </c>
      <c r="B557" s="15">
        <v>40</v>
      </c>
      <c r="C557" s="24">
        <v>4</v>
      </c>
      <c r="D557" s="15">
        <v>2</v>
      </c>
      <c r="E557" s="15">
        <v>431</v>
      </c>
      <c r="F557" s="15">
        <v>103</v>
      </c>
      <c r="G557" s="15">
        <v>7</v>
      </c>
      <c r="H557" s="7">
        <f>268+39+40+90</f>
        <v>437</v>
      </c>
      <c r="I557" s="9">
        <f t="shared" si="37"/>
        <v>336</v>
      </c>
      <c r="J557" s="10">
        <v>45675</v>
      </c>
      <c r="K557" s="10">
        <v>45688</v>
      </c>
      <c r="L557" s="11" t="s">
        <v>81</v>
      </c>
      <c r="M557" s="12">
        <f t="shared" si="38"/>
        <v>67361194.569999993</v>
      </c>
    </row>
    <row r="558" spans="1:13">
      <c r="A558" s="7">
        <v>555</v>
      </c>
      <c r="B558" s="15">
        <v>37</v>
      </c>
      <c r="C558" s="24">
        <v>4</v>
      </c>
      <c r="D558" s="15">
        <v>2</v>
      </c>
      <c r="E558" s="15">
        <v>6888</v>
      </c>
      <c r="F558" s="8">
        <v>107</v>
      </c>
      <c r="G558" s="8">
        <v>6</v>
      </c>
      <c r="H558" s="7">
        <f>112+39+29+83</f>
        <v>263</v>
      </c>
      <c r="I558" s="9">
        <f t="shared" si="37"/>
        <v>888</v>
      </c>
      <c r="J558" s="10">
        <v>45654</v>
      </c>
      <c r="K558" s="10">
        <v>45690</v>
      </c>
      <c r="L558" s="11" t="s">
        <v>80</v>
      </c>
      <c r="M558" s="12">
        <f t="shared" si="38"/>
        <v>40540032.43</v>
      </c>
    </row>
    <row r="559" spans="1:13">
      <c r="A559" s="7">
        <v>556</v>
      </c>
      <c r="B559" s="15">
        <v>44</v>
      </c>
      <c r="C559" s="24">
        <v>4</v>
      </c>
      <c r="D559" s="15">
        <v>2</v>
      </c>
      <c r="E559" s="15">
        <v>7765</v>
      </c>
      <c r="F559" s="8">
        <v>24</v>
      </c>
      <c r="G559" s="8">
        <v>4</v>
      </c>
      <c r="H559" s="7">
        <f>268+90</f>
        <v>358</v>
      </c>
      <c r="I559" s="9">
        <f t="shared" si="37"/>
        <v>984</v>
      </c>
      <c r="J559" s="10">
        <v>45651</v>
      </c>
      <c r="K559" s="10">
        <v>45691</v>
      </c>
      <c r="L559" s="11" t="s">
        <v>82</v>
      </c>
      <c r="M559" s="12">
        <f t="shared" si="38"/>
        <v>55183770.379999995</v>
      </c>
    </row>
    <row r="560" spans="1:13">
      <c r="A560" s="7">
        <v>557</v>
      </c>
      <c r="B560" s="15">
        <v>42</v>
      </c>
      <c r="C560" s="24">
        <v>4</v>
      </c>
      <c r="D560" s="15">
        <v>2</v>
      </c>
      <c r="E560" s="15">
        <v>869</v>
      </c>
      <c r="F560" s="8">
        <v>121</v>
      </c>
      <c r="G560" s="8">
        <v>7</v>
      </c>
      <c r="H560" s="7">
        <f>221+39+29+90</f>
        <v>379</v>
      </c>
      <c r="I560" s="9">
        <f t="shared" si="37"/>
        <v>360</v>
      </c>
      <c r="J560" s="10">
        <v>45678</v>
      </c>
      <c r="K560" s="10">
        <v>45692</v>
      </c>
      <c r="L560" s="14" t="s">
        <v>21</v>
      </c>
      <c r="M560" s="12">
        <f t="shared" si="38"/>
        <v>58420807.189999998</v>
      </c>
    </row>
    <row r="561" spans="1:13">
      <c r="A561" s="7">
        <v>558</v>
      </c>
      <c r="B561" s="15">
        <v>43</v>
      </c>
      <c r="C561" s="24">
        <v>4</v>
      </c>
      <c r="D561" s="15">
        <v>2</v>
      </c>
      <c r="E561" s="15">
        <v>419</v>
      </c>
      <c r="F561" s="8">
        <v>103</v>
      </c>
      <c r="G561" s="8">
        <v>7</v>
      </c>
      <c r="H561" s="7">
        <f>221+45+29+37+83</f>
        <v>415</v>
      </c>
      <c r="I561" s="9">
        <f t="shared" si="37"/>
        <v>240</v>
      </c>
      <c r="J561" s="10">
        <v>45686</v>
      </c>
      <c r="K561" s="10">
        <v>45695</v>
      </c>
      <c r="L561" s="11" t="s">
        <v>93</v>
      </c>
      <c r="M561" s="12">
        <f t="shared" si="38"/>
        <v>63970013.149999991</v>
      </c>
    </row>
    <row r="562" spans="1:13" ht="31.5">
      <c r="A562" s="7">
        <v>559</v>
      </c>
      <c r="B562" s="15">
        <v>8</v>
      </c>
      <c r="C562" s="24">
        <v>4</v>
      </c>
      <c r="D562" s="15">
        <v>2</v>
      </c>
      <c r="E562" s="15">
        <v>28</v>
      </c>
      <c r="F562" s="36" t="s">
        <v>29</v>
      </c>
      <c r="G562" s="36"/>
      <c r="H562" s="7">
        <f>39+234+39+112+29+90</f>
        <v>543</v>
      </c>
      <c r="I562" s="9">
        <f t="shared" si="37"/>
        <v>384</v>
      </c>
      <c r="J562" s="10">
        <v>45686</v>
      </c>
      <c r="K562" s="10">
        <v>45701</v>
      </c>
      <c r="L562" s="14" t="s">
        <v>88</v>
      </c>
      <c r="M562" s="12">
        <f t="shared" si="38"/>
        <v>83700523.229999989</v>
      </c>
    </row>
    <row r="563" spans="1:13">
      <c r="A563" s="7">
        <v>560</v>
      </c>
      <c r="B563" s="15">
        <v>37</v>
      </c>
      <c r="C563" s="24">
        <v>4</v>
      </c>
      <c r="D563" s="15">
        <v>2</v>
      </c>
      <c r="E563" s="15">
        <v>887</v>
      </c>
      <c r="F563" s="8">
        <v>100</v>
      </c>
      <c r="G563" s="8">
        <v>7</v>
      </c>
      <c r="H563" s="7">
        <f>140+39+83</f>
        <v>262</v>
      </c>
      <c r="I563" s="9">
        <f t="shared" si="37"/>
        <v>312</v>
      </c>
      <c r="J563" s="10">
        <v>45691</v>
      </c>
      <c r="K563" s="10">
        <v>45703</v>
      </c>
      <c r="L563" s="14" t="s">
        <v>86</v>
      </c>
      <c r="M563" s="12">
        <f t="shared" si="38"/>
        <v>40385887.819999993</v>
      </c>
    </row>
    <row r="564" spans="1:13">
      <c r="A564" s="7">
        <v>561</v>
      </c>
      <c r="B564" s="15">
        <v>40</v>
      </c>
      <c r="C564" s="24">
        <v>4</v>
      </c>
      <c r="D564" s="15">
        <v>2</v>
      </c>
      <c r="E564" s="15">
        <v>967</v>
      </c>
      <c r="F564" s="8" t="s">
        <v>87</v>
      </c>
      <c r="G564" s="8" t="s">
        <v>17</v>
      </c>
      <c r="H564" s="7">
        <f>112+39+234+82</f>
        <v>467</v>
      </c>
      <c r="I564" s="9">
        <f t="shared" si="37"/>
        <v>408</v>
      </c>
      <c r="J564" s="10">
        <v>45688</v>
      </c>
      <c r="K564" s="10">
        <v>45704</v>
      </c>
      <c r="L564" s="14" t="s">
        <v>90</v>
      </c>
      <c r="M564" s="12">
        <f t="shared" si="38"/>
        <v>71985532.86999999</v>
      </c>
    </row>
    <row r="565" spans="1:13">
      <c r="A565" s="7">
        <v>562</v>
      </c>
      <c r="B565" s="15">
        <v>42</v>
      </c>
      <c r="C565" s="24">
        <v>4</v>
      </c>
      <c r="D565" s="15">
        <v>2</v>
      </c>
      <c r="E565" s="15">
        <v>7469</v>
      </c>
      <c r="F565" s="8">
        <v>30</v>
      </c>
      <c r="G565" s="8">
        <v>4</v>
      </c>
      <c r="H565" s="7">
        <f>177+29+137+90</f>
        <v>433</v>
      </c>
      <c r="I565" s="9">
        <f t="shared" si="37"/>
        <v>480</v>
      </c>
      <c r="J565" s="10">
        <v>45692</v>
      </c>
      <c r="K565" s="10">
        <v>45711</v>
      </c>
      <c r="L565" s="14" t="s">
        <v>98</v>
      </c>
      <c r="M565" s="12">
        <f t="shared" si="38"/>
        <v>66744616.129999995</v>
      </c>
    </row>
    <row r="566" spans="1:13">
      <c r="A566" s="7">
        <v>563</v>
      </c>
      <c r="B566" s="15">
        <v>41</v>
      </c>
      <c r="C566" s="24">
        <v>4</v>
      </c>
      <c r="D566" s="15">
        <v>2</v>
      </c>
      <c r="E566" s="15">
        <v>583</v>
      </c>
      <c r="F566" s="8">
        <v>103</v>
      </c>
      <c r="G566" s="8">
        <v>7</v>
      </c>
      <c r="H566" s="7">
        <f>177+83</f>
        <v>260</v>
      </c>
      <c r="I566" s="9">
        <f t="shared" si="37"/>
        <v>288</v>
      </c>
      <c r="J566" s="10">
        <v>45701</v>
      </c>
      <c r="K566" s="10">
        <v>45712</v>
      </c>
      <c r="L566" s="14" t="s">
        <v>91</v>
      </c>
      <c r="M566" s="12">
        <f t="shared" si="38"/>
        <v>40077598.599999994</v>
      </c>
    </row>
    <row r="567" spans="1:13">
      <c r="A567" s="7">
        <v>564</v>
      </c>
      <c r="B567" s="24">
        <v>38</v>
      </c>
      <c r="C567" s="24">
        <v>4</v>
      </c>
      <c r="D567" s="15">
        <v>2</v>
      </c>
      <c r="E567" s="15">
        <v>4592</v>
      </c>
      <c r="F567" s="15">
        <v>27</v>
      </c>
      <c r="G567" s="15">
        <v>4</v>
      </c>
      <c r="H567" s="7">
        <f>140+39+234+39+29+90</f>
        <v>571</v>
      </c>
      <c r="I567" s="9">
        <f t="shared" si="37"/>
        <v>648</v>
      </c>
      <c r="J567" s="10">
        <v>45688</v>
      </c>
      <c r="K567" s="10">
        <v>45714</v>
      </c>
      <c r="L567" s="26" t="s">
        <v>94</v>
      </c>
      <c r="M567" s="12">
        <f t="shared" si="38"/>
        <v>88016572.309999987</v>
      </c>
    </row>
    <row r="568" spans="1:13">
      <c r="A568" s="7">
        <v>565</v>
      </c>
      <c r="B568" s="24">
        <v>44</v>
      </c>
      <c r="C568" s="24">
        <v>4</v>
      </c>
      <c r="D568" s="15">
        <v>2</v>
      </c>
      <c r="E568" s="15">
        <v>910</v>
      </c>
      <c r="F568" s="8">
        <v>102</v>
      </c>
      <c r="G568" s="8">
        <v>4</v>
      </c>
      <c r="H568" s="7">
        <f>202+37+90</f>
        <v>329</v>
      </c>
      <c r="I568" s="9">
        <f t="shared" si="37"/>
        <v>600</v>
      </c>
      <c r="J568" s="10">
        <v>45692</v>
      </c>
      <c r="K568" s="10">
        <v>45716</v>
      </c>
      <c r="L568" s="14" t="s">
        <v>97</v>
      </c>
      <c r="M568" s="12">
        <f t="shared" si="38"/>
        <v>50713576.689999998</v>
      </c>
    </row>
    <row r="569" spans="1:13">
      <c r="A569" s="7">
        <v>566</v>
      </c>
      <c r="B569" s="15">
        <v>43</v>
      </c>
      <c r="C569" s="15">
        <v>4</v>
      </c>
      <c r="D569" s="15">
        <v>3</v>
      </c>
      <c r="E569" s="15">
        <v>167</v>
      </c>
      <c r="F569" s="15">
        <v>102</v>
      </c>
      <c r="G569" s="15">
        <v>4</v>
      </c>
      <c r="H569" s="7">
        <f>221+29+83</f>
        <v>333</v>
      </c>
      <c r="I569" s="9">
        <f t="shared" si="37"/>
        <v>168</v>
      </c>
      <c r="J569" s="10">
        <v>45696</v>
      </c>
      <c r="K569" s="10">
        <v>45702</v>
      </c>
      <c r="L569" s="11" t="s">
        <v>127</v>
      </c>
      <c r="M569" s="12">
        <f t="shared" si="38"/>
        <v>51330155.129999995</v>
      </c>
    </row>
    <row r="570" spans="1:13">
      <c r="A570" s="7">
        <v>567</v>
      </c>
      <c r="B570" s="24">
        <v>43</v>
      </c>
      <c r="C570" s="15">
        <v>4</v>
      </c>
      <c r="D570" s="15">
        <v>3</v>
      </c>
      <c r="E570" s="15">
        <v>8081</v>
      </c>
      <c r="F570" s="8">
        <v>30</v>
      </c>
      <c r="G570" s="8">
        <v>4</v>
      </c>
      <c r="H570" s="7">
        <f>221+39+90</f>
        <v>350</v>
      </c>
      <c r="I570" s="9">
        <f t="shared" si="37"/>
        <v>240</v>
      </c>
      <c r="J570" s="10">
        <v>45703</v>
      </c>
      <c r="K570" s="10">
        <v>45712</v>
      </c>
      <c r="L570" s="11" t="s">
        <v>126</v>
      </c>
      <c r="M570" s="12">
        <f t="shared" si="38"/>
        <v>53950613.499999993</v>
      </c>
    </row>
    <row r="571" spans="1:13">
      <c r="A571" s="7">
        <v>568</v>
      </c>
      <c r="B571" s="15">
        <v>43</v>
      </c>
      <c r="C571" s="15">
        <v>4</v>
      </c>
      <c r="D571" s="15">
        <v>3</v>
      </c>
      <c r="E571" s="15">
        <v>948</v>
      </c>
      <c r="F571" s="8">
        <v>30</v>
      </c>
      <c r="G571" s="8">
        <v>4</v>
      </c>
      <c r="H571" s="7">
        <f>177+29+137+39+83</f>
        <v>465</v>
      </c>
      <c r="I571" s="9">
        <f t="shared" si="37"/>
        <v>216</v>
      </c>
      <c r="J571" s="10">
        <v>45713</v>
      </c>
      <c r="K571" s="10">
        <v>45721</v>
      </c>
      <c r="L571" s="11" t="s">
        <v>153</v>
      </c>
      <c r="M571" s="12">
        <f t="shared" ref="M571:M581" si="39">H571*154144.61</f>
        <v>71677243.649999991</v>
      </c>
    </row>
    <row r="572" spans="1:13" ht="31.5">
      <c r="A572" s="7">
        <v>569</v>
      </c>
      <c r="B572" s="15">
        <v>37</v>
      </c>
      <c r="C572" s="15">
        <v>4</v>
      </c>
      <c r="D572" s="15">
        <v>3</v>
      </c>
      <c r="E572" s="15">
        <v>298</v>
      </c>
      <c r="F572" s="8">
        <v>79</v>
      </c>
      <c r="G572" s="8">
        <v>7</v>
      </c>
      <c r="H572" s="7">
        <f>177+39+112+39+29+37+83</f>
        <v>516</v>
      </c>
      <c r="I572" s="9">
        <f t="shared" si="37"/>
        <v>600</v>
      </c>
      <c r="J572" s="10">
        <v>45704</v>
      </c>
      <c r="K572" s="10">
        <v>45728</v>
      </c>
      <c r="L572" s="11" t="s">
        <v>131</v>
      </c>
      <c r="M572" s="12">
        <f t="shared" si="39"/>
        <v>79538618.75999999</v>
      </c>
    </row>
    <row r="573" spans="1:13">
      <c r="A573" s="7">
        <v>570</v>
      </c>
      <c r="B573" s="15">
        <v>41</v>
      </c>
      <c r="C573" s="15">
        <v>4</v>
      </c>
      <c r="D573" s="15">
        <v>3</v>
      </c>
      <c r="E573" s="15">
        <v>934</v>
      </c>
      <c r="F573" s="8">
        <v>100</v>
      </c>
      <c r="G573" s="8">
        <v>7</v>
      </c>
      <c r="H573" s="7">
        <f>140+39+83</f>
        <v>262</v>
      </c>
      <c r="I573" s="9">
        <f t="shared" si="37"/>
        <v>600</v>
      </c>
      <c r="J573" s="10">
        <v>45704</v>
      </c>
      <c r="K573" s="10">
        <v>45728</v>
      </c>
      <c r="L573" s="11" t="s">
        <v>86</v>
      </c>
      <c r="M573" s="12">
        <f t="shared" si="39"/>
        <v>40385887.819999993</v>
      </c>
    </row>
    <row r="574" spans="1:13">
      <c r="A574" s="7">
        <v>571</v>
      </c>
      <c r="B574" s="15">
        <v>43</v>
      </c>
      <c r="C574" s="15">
        <v>4</v>
      </c>
      <c r="D574" s="15">
        <v>3</v>
      </c>
      <c r="E574" s="15">
        <v>190</v>
      </c>
      <c r="F574" s="8">
        <v>105</v>
      </c>
      <c r="G574" s="8">
        <v>7</v>
      </c>
      <c r="H574" s="7">
        <f>177+45+90</f>
        <v>312</v>
      </c>
      <c r="I574" s="9">
        <f t="shared" si="37"/>
        <v>264</v>
      </c>
      <c r="J574" s="10">
        <v>45722</v>
      </c>
      <c r="K574" s="10">
        <v>45732</v>
      </c>
      <c r="L574" s="11" t="s">
        <v>133</v>
      </c>
      <c r="M574" s="12">
        <f t="shared" si="39"/>
        <v>48093118.319999993</v>
      </c>
    </row>
    <row r="575" spans="1:13">
      <c r="A575" s="7">
        <v>572</v>
      </c>
      <c r="B575" s="15">
        <v>38</v>
      </c>
      <c r="C575" s="15">
        <v>4</v>
      </c>
      <c r="D575" s="15">
        <v>3</v>
      </c>
      <c r="E575" s="15">
        <v>276</v>
      </c>
      <c r="F575" s="8">
        <v>101</v>
      </c>
      <c r="G575" s="8">
        <v>7</v>
      </c>
      <c r="H575" s="7">
        <f>221+39+37+90</f>
        <v>387</v>
      </c>
      <c r="I575" s="9">
        <f t="shared" si="37"/>
        <v>456</v>
      </c>
      <c r="J575" s="10">
        <v>45716</v>
      </c>
      <c r="K575" s="10">
        <v>45734</v>
      </c>
      <c r="L575" s="11" t="s">
        <v>152</v>
      </c>
      <c r="M575" s="12">
        <f t="shared" si="39"/>
        <v>59653964.069999993</v>
      </c>
    </row>
    <row r="576" spans="1:13" ht="31.5">
      <c r="A576" s="7">
        <v>573</v>
      </c>
      <c r="B576" s="15">
        <v>8</v>
      </c>
      <c r="C576" s="15">
        <v>4</v>
      </c>
      <c r="D576" s="15">
        <v>3</v>
      </c>
      <c r="E576" s="15">
        <v>1</v>
      </c>
      <c r="F576" s="36" t="s">
        <v>29</v>
      </c>
      <c r="G576" s="36"/>
      <c r="H576" s="7">
        <f>318+39+29+82</f>
        <v>468</v>
      </c>
      <c r="I576" s="9">
        <f t="shared" si="37"/>
        <v>768</v>
      </c>
      <c r="J576" s="10">
        <v>45702</v>
      </c>
      <c r="K576" s="10">
        <v>45733</v>
      </c>
      <c r="L576" s="14" t="s">
        <v>151</v>
      </c>
      <c r="M576" s="12">
        <f t="shared" si="39"/>
        <v>72139677.479999989</v>
      </c>
    </row>
    <row r="577" spans="1:13">
      <c r="A577" s="7">
        <v>574</v>
      </c>
      <c r="B577" s="15">
        <v>38</v>
      </c>
      <c r="C577" s="15">
        <v>4</v>
      </c>
      <c r="D577" s="15">
        <v>3</v>
      </c>
      <c r="E577" s="15">
        <v>5155</v>
      </c>
      <c r="F577" s="8">
        <v>107</v>
      </c>
      <c r="G577" s="8">
        <v>6</v>
      </c>
      <c r="H577" s="7">
        <f>140+39+83</f>
        <v>262</v>
      </c>
      <c r="I577" s="9">
        <f t="shared" si="37"/>
        <v>168</v>
      </c>
      <c r="J577" s="10">
        <v>45734</v>
      </c>
      <c r="K577" s="10">
        <v>45740</v>
      </c>
      <c r="L577" s="11" t="s">
        <v>40</v>
      </c>
      <c r="M577" s="12">
        <f t="shared" si="39"/>
        <v>40385887.819999993</v>
      </c>
    </row>
    <row r="578" spans="1:13">
      <c r="A578" s="7">
        <v>575</v>
      </c>
      <c r="B578" s="15">
        <v>41</v>
      </c>
      <c r="C578" s="15">
        <v>4</v>
      </c>
      <c r="D578" s="15">
        <v>3</v>
      </c>
      <c r="E578" s="15">
        <v>780</v>
      </c>
      <c r="F578" s="15" t="s">
        <v>87</v>
      </c>
      <c r="G578" s="15" t="s">
        <v>17</v>
      </c>
      <c r="H578" s="7">
        <f>140+39+29+77</f>
        <v>285</v>
      </c>
      <c r="I578" s="9">
        <f t="shared" si="37"/>
        <v>240</v>
      </c>
      <c r="J578" s="10">
        <v>45728</v>
      </c>
      <c r="K578" s="10">
        <v>45737</v>
      </c>
      <c r="L578" s="11" t="s">
        <v>49</v>
      </c>
      <c r="M578" s="12">
        <f t="shared" si="39"/>
        <v>43931213.849999994</v>
      </c>
    </row>
    <row r="579" spans="1:13" ht="31.5">
      <c r="A579" s="7">
        <v>576</v>
      </c>
      <c r="B579" s="15">
        <v>8</v>
      </c>
      <c r="C579" s="15">
        <v>4</v>
      </c>
      <c r="D579" s="15">
        <v>3</v>
      </c>
      <c r="E579" s="15">
        <v>20</v>
      </c>
      <c r="F579" s="36" t="s">
        <v>29</v>
      </c>
      <c r="G579" s="36"/>
      <c r="H579" s="7">
        <f>45+112+29+90</f>
        <v>276</v>
      </c>
      <c r="I579" s="9">
        <f t="shared" si="37"/>
        <v>312</v>
      </c>
      <c r="J579" s="10">
        <v>45734</v>
      </c>
      <c r="K579" s="10">
        <v>45746</v>
      </c>
      <c r="L579" s="31" t="s">
        <v>146</v>
      </c>
      <c r="M579" s="12">
        <f t="shared" si="39"/>
        <v>42543912.359999999</v>
      </c>
    </row>
    <row r="580" spans="1:13">
      <c r="A580" s="7">
        <v>577</v>
      </c>
      <c r="B580" s="15">
        <v>45</v>
      </c>
      <c r="C580" s="15">
        <v>4</v>
      </c>
      <c r="D580" s="15">
        <v>3</v>
      </c>
      <c r="E580" s="15">
        <v>550</v>
      </c>
      <c r="F580" s="15" t="s">
        <v>87</v>
      </c>
      <c r="G580" s="15" t="s">
        <v>17</v>
      </c>
      <c r="H580" s="7">
        <f>341+29+82</f>
        <v>452</v>
      </c>
      <c r="I580" s="9">
        <f t="shared" ref="I580:I643" si="40">(K580-J580+1)*24</f>
        <v>1584</v>
      </c>
      <c r="J580" s="10">
        <v>45682</v>
      </c>
      <c r="K580" s="10">
        <v>45747</v>
      </c>
      <c r="L580" s="14" t="s">
        <v>145</v>
      </c>
      <c r="M580" s="12">
        <f t="shared" si="39"/>
        <v>69673363.719999999</v>
      </c>
    </row>
    <row r="581" spans="1:13">
      <c r="A581" s="7">
        <v>578</v>
      </c>
      <c r="B581" s="15">
        <v>43</v>
      </c>
      <c r="C581" s="15">
        <v>4</v>
      </c>
      <c r="D581" s="15">
        <v>4</v>
      </c>
      <c r="E581" s="15">
        <v>658</v>
      </c>
      <c r="F581" s="15">
        <v>101</v>
      </c>
      <c r="G581" s="15">
        <v>7</v>
      </c>
      <c r="H581" s="7">
        <f>112+45+90</f>
        <v>247</v>
      </c>
      <c r="I581" s="9">
        <f t="shared" si="40"/>
        <v>312</v>
      </c>
      <c r="J581" s="10">
        <v>45733</v>
      </c>
      <c r="K581" s="10">
        <v>45745</v>
      </c>
      <c r="L581" s="11" t="s">
        <v>170</v>
      </c>
      <c r="M581" s="12">
        <f t="shared" si="39"/>
        <v>38073718.669999994</v>
      </c>
    </row>
    <row r="582" spans="1:13">
      <c r="A582" s="7">
        <v>579</v>
      </c>
      <c r="B582" s="15">
        <v>40</v>
      </c>
      <c r="C582" s="15">
        <v>4</v>
      </c>
      <c r="D582" s="15">
        <v>4</v>
      </c>
      <c r="E582" s="15">
        <v>122</v>
      </c>
      <c r="F582" s="8" t="s">
        <v>87</v>
      </c>
      <c r="G582" s="8" t="s">
        <v>17</v>
      </c>
      <c r="H582" s="7">
        <f>37+112+39+29+39+82</f>
        <v>338</v>
      </c>
      <c r="I582" s="9">
        <f t="shared" si="40"/>
        <v>1104</v>
      </c>
      <c r="J582" s="10">
        <v>45705</v>
      </c>
      <c r="K582" s="10">
        <v>45750</v>
      </c>
      <c r="L582" s="11" t="s">
        <v>194</v>
      </c>
      <c r="M582" s="12">
        <f>H582*154144.61-300000</f>
        <v>51800878.179999992</v>
      </c>
    </row>
    <row r="583" spans="1:13">
      <c r="A583" s="7">
        <v>580</v>
      </c>
      <c r="B583" s="24">
        <v>42</v>
      </c>
      <c r="C583" s="15">
        <v>4</v>
      </c>
      <c r="D583" s="15">
        <v>4</v>
      </c>
      <c r="E583" s="15">
        <v>299</v>
      </c>
      <c r="F583" s="8">
        <v>79</v>
      </c>
      <c r="G583" s="8">
        <v>7</v>
      </c>
      <c r="H583" s="7">
        <f>221+39+112+29+39+90</f>
        <v>530</v>
      </c>
      <c r="I583" s="9">
        <f t="shared" si="40"/>
        <v>912</v>
      </c>
      <c r="J583" s="10">
        <v>45715</v>
      </c>
      <c r="K583" s="10">
        <v>45752</v>
      </c>
      <c r="L583" s="11" t="s">
        <v>171</v>
      </c>
      <c r="M583" s="12">
        <f>H583*154144.61</f>
        <v>81696643.299999997</v>
      </c>
    </row>
    <row r="584" spans="1:13" ht="31.5">
      <c r="A584" s="7">
        <v>581</v>
      </c>
      <c r="B584" s="15">
        <v>8</v>
      </c>
      <c r="C584" s="15">
        <v>4</v>
      </c>
      <c r="D584" s="15">
        <v>4</v>
      </c>
      <c r="E584" s="15">
        <v>21</v>
      </c>
      <c r="F584" s="36" t="s">
        <v>29</v>
      </c>
      <c r="G584" s="36"/>
      <c r="H584" s="7">
        <f>90</f>
        <v>90</v>
      </c>
      <c r="I584" s="9">
        <f t="shared" si="40"/>
        <v>192</v>
      </c>
      <c r="J584" s="10">
        <v>45748</v>
      </c>
      <c r="K584" s="10">
        <v>45755</v>
      </c>
      <c r="L584" s="11" t="s">
        <v>176</v>
      </c>
      <c r="M584" s="12">
        <f>H584*154144.61</f>
        <v>13873014.899999999</v>
      </c>
    </row>
    <row r="585" spans="1:13">
      <c r="A585" s="7">
        <v>582</v>
      </c>
      <c r="B585" s="15">
        <v>37</v>
      </c>
      <c r="C585" s="15">
        <v>4</v>
      </c>
      <c r="D585" s="15">
        <v>4</v>
      </c>
      <c r="E585" s="15">
        <v>4212</v>
      </c>
      <c r="F585" s="8">
        <v>27</v>
      </c>
      <c r="G585" s="8">
        <v>4</v>
      </c>
      <c r="H585" s="7">
        <f>177+39+112+39+29+83</f>
        <v>479</v>
      </c>
      <c r="I585" s="9">
        <f t="shared" si="40"/>
        <v>744</v>
      </c>
      <c r="J585" s="10">
        <v>45727</v>
      </c>
      <c r="K585" s="10">
        <v>45757</v>
      </c>
      <c r="L585" s="11" t="s">
        <v>175</v>
      </c>
      <c r="M585" s="12">
        <f>H585*154144.61-200000</f>
        <v>73635268.189999998</v>
      </c>
    </row>
    <row r="586" spans="1:13">
      <c r="A586" s="7">
        <v>583</v>
      </c>
      <c r="B586" s="15">
        <v>45</v>
      </c>
      <c r="C586" s="15">
        <v>4</v>
      </c>
      <c r="D586" s="15">
        <v>4</v>
      </c>
      <c r="E586" s="15">
        <v>5377</v>
      </c>
      <c r="F586" s="15">
        <v>23</v>
      </c>
      <c r="G586" s="15">
        <v>6</v>
      </c>
      <c r="H586" s="15">
        <f>112+39+29+83</f>
        <v>263</v>
      </c>
      <c r="I586" s="7">
        <f t="shared" si="40"/>
        <v>264</v>
      </c>
      <c r="J586" s="10">
        <v>45748</v>
      </c>
      <c r="K586" s="10">
        <v>45758</v>
      </c>
      <c r="L586" s="11" t="s">
        <v>195</v>
      </c>
      <c r="M586" s="12">
        <f t="shared" ref="M586:M600" si="41">H586*154144.61</f>
        <v>40540032.43</v>
      </c>
    </row>
    <row r="587" spans="1:13">
      <c r="A587" s="7">
        <v>584</v>
      </c>
      <c r="B587" s="15">
        <v>40</v>
      </c>
      <c r="C587" s="15">
        <v>4</v>
      </c>
      <c r="D587" s="15">
        <v>4</v>
      </c>
      <c r="E587" s="15">
        <v>5235</v>
      </c>
      <c r="F587" s="15">
        <v>22</v>
      </c>
      <c r="G587" s="15">
        <v>6</v>
      </c>
      <c r="H587" s="15">
        <f>221+90</f>
        <v>311</v>
      </c>
      <c r="I587" s="7">
        <f t="shared" si="40"/>
        <v>240</v>
      </c>
      <c r="J587" s="10">
        <v>45750</v>
      </c>
      <c r="K587" s="10">
        <v>45759</v>
      </c>
      <c r="L587" s="14" t="s">
        <v>78</v>
      </c>
      <c r="M587" s="12">
        <f t="shared" si="41"/>
        <v>47938973.709999993</v>
      </c>
    </row>
    <row r="588" spans="1:13">
      <c r="A588" s="7">
        <v>585</v>
      </c>
      <c r="B588" s="15">
        <v>38</v>
      </c>
      <c r="C588" s="15">
        <v>4</v>
      </c>
      <c r="D588" s="15">
        <v>4</v>
      </c>
      <c r="E588" s="15">
        <v>9805</v>
      </c>
      <c r="F588" s="15">
        <v>22</v>
      </c>
      <c r="G588" s="15">
        <v>6</v>
      </c>
      <c r="H588" s="15">
        <f>177+392+29+90</f>
        <v>688</v>
      </c>
      <c r="I588" s="7">
        <f t="shared" si="40"/>
        <v>504</v>
      </c>
      <c r="J588" s="10">
        <v>45741</v>
      </c>
      <c r="K588" s="10">
        <v>45761</v>
      </c>
      <c r="L588" s="14" t="s">
        <v>196</v>
      </c>
      <c r="M588" s="12">
        <f t="shared" si="41"/>
        <v>106051491.67999999</v>
      </c>
    </row>
    <row r="589" spans="1:13">
      <c r="A589" s="7">
        <v>586</v>
      </c>
      <c r="B589" s="15">
        <v>41</v>
      </c>
      <c r="C589" s="15">
        <v>4</v>
      </c>
      <c r="D589" s="15">
        <v>4</v>
      </c>
      <c r="E589" s="15">
        <v>984</v>
      </c>
      <c r="F589" s="15">
        <v>79</v>
      </c>
      <c r="G589" s="15">
        <v>7</v>
      </c>
      <c r="H589" s="15">
        <f>177+392+29+90</f>
        <v>688</v>
      </c>
      <c r="I589" s="7">
        <f t="shared" si="40"/>
        <v>624</v>
      </c>
      <c r="J589" s="10">
        <v>45737</v>
      </c>
      <c r="K589" s="10">
        <v>45762</v>
      </c>
      <c r="L589" s="14" t="s">
        <v>196</v>
      </c>
      <c r="M589" s="12">
        <f t="shared" si="41"/>
        <v>106051491.67999999</v>
      </c>
    </row>
    <row r="590" spans="1:13">
      <c r="A590" s="7">
        <v>587</v>
      </c>
      <c r="B590" s="15">
        <v>42</v>
      </c>
      <c r="C590" s="15">
        <v>4</v>
      </c>
      <c r="D590" s="15">
        <v>4</v>
      </c>
      <c r="E590" s="15">
        <v>6206</v>
      </c>
      <c r="F590" s="15">
        <v>102</v>
      </c>
      <c r="G590" s="15">
        <v>4</v>
      </c>
      <c r="H590" s="15">
        <f>112+39+29+90</f>
        <v>270</v>
      </c>
      <c r="I590" s="7">
        <f t="shared" si="40"/>
        <v>288</v>
      </c>
      <c r="J590" s="10">
        <v>45752</v>
      </c>
      <c r="K590" s="10">
        <v>45763</v>
      </c>
      <c r="L590" s="11" t="s">
        <v>197</v>
      </c>
      <c r="M590" s="12">
        <f t="shared" si="41"/>
        <v>41619044.699999996</v>
      </c>
    </row>
    <row r="591" spans="1:13" ht="31.5">
      <c r="A591" s="7">
        <v>588</v>
      </c>
      <c r="B591" s="15">
        <v>43</v>
      </c>
      <c r="C591" s="15">
        <v>4</v>
      </c>
      <c r="D591" s="15">
        <v>4</v>
      </c>
      <c r="E591" s="15">
        <v>800</v>
      </c>
      <c r="F591" s="15" t="s">
        <v>183</v>
      </c>
      <c r="G591" s="8" t="s">
        <v>17</v>
      </c>
      <c r="H591" s="15">
        <f>112+39+137+39+77</f>
        <v>404</v>
      </c>
      <c r="I591" s="7">
        <f t="shared" si="40"/>
        <v>456</v>
      </c>
      <c r="J591" s="10">
        <v>45745</v>
      </c>
      <c r="K591" s="10">
        <v>45763</v>
      </c>
      <c r="L591" s="14" t="s">
        <v>184</v>
      </c>
      <c r="M591" s="12">
        <f t="shared" si="41"/>
        <v>62274422.439999998</v>
      </c>
    </row>
    <row r="592" spans="1:13" ht="15.75" customHeight="1">
      <c r="A592" s="7">
        <v>589</v>
      </c>
      <c r="B592" s="15">
        <v>40</v>
      </c>
      <c r="C592" s="15">
        <v>4</v>
      </c>
      <c r="D592" s="15">
        <v>4</v>
      </c>
      <c r="E592" s="15">
        <v>4820</v>
      </c>
      <c r="F592" s="15" t="s">
        <v>185</v>
      </c>
      <c r="G592" s="8" t="s">
        <v>17</v>
      </c>
      <c r="H592" s="15">
        <f>177+39+82</f>
        <v>298</v>
      </c>
      <c r="I592" s="7">
        <f t="shared" si="40"/>
        <v>192</v>
      </c>
      <c r="J592" s="10">
        <v>45759</v>
      </c>
      <c r="K592" s="10">
        <v>45766</v>
      </c>
      <c r="L592" s="14" t="s">
        <v>186</v>
      </c>
      <c r="M592" s="12">
        <f t="shared" si="41"/>
        <v>45935093.779999994</v>
      </c>
    </row>
    <row r="593" spans="1:13" ht="15.75" customHeight="1">
      <c r="A593" s="7">
        <v>590</v>
      </c>
      <c r="B593" s="15">
        <v>44</v>
      </c>
      <c r="C593" s="15">
        <v>4</v>
      </c>
      <c r="D593" s="15">
        <v>4</v>
      </c>
      <c r="E593" s="15">
        <v>78</v>
      </c>
      <c r="F593" s="15">
        <v>121</v>
      </c>
      <c r="G593" s="15">
        <v>7</v>
      </c>
      <c r="H593" s="15">
        <f>392+29+90</f>
        <v>511</v>
      </c>
      <c r="I593" s="7">
        <f t="shared" si="40"/>
        <v>1224</v>
      </c>
      <c r="J593" s="10">
        <v>45716</v>
      </c>
      <c r="K593" s="10">
        <v>45766</v>
      </c>
      <c r="L593" s="14" t="s">
        <v>198</v>
      </c>
      <c r="M593" s="12">
        <f t="shared" si="41"/>
        <v>78767895.709999993</v>
      </c>
    </row>
    <row r="594" spans="1:13">
      <c r="A594" s="7">
        <v>591</v>
      </c>
      <c r="B594" s="15">
        <v>45</v>
      </c>
      <c r="C594" s="15">
        <v>4</v>
      </c>
      <c r="D594" s="15">
        <v>4</v>
      </c>
      <c r="E594" s="15">
        <v>9253</v>
      </c>
      <c r="F594" s="15">
        <v>27</v>
      </c>
      <c r="G594" s="15">
        <v>4</v>
      </c>
      <c r="H594" s="15">
        <f>140+39+39+29+39+90</f>
        <v>376</v>
      </c>
      <c r="I594" s="7">
        <f t="shared" si="40"/>
        <v>384</v>
      </c>
      <c r="J594" s="10">
        <v>45758</v>
      </c>
      <c r="K594" s="10">
        <v>45773</v>
      </c>
      <c r="L594" s="14" t="s">
        <v>187</v>
      </c>
      <c r="M594" s="12">
        <f t="shared" si="41"/>
        <v>57958373.359999992</v>
      </c>
    </row>
    <row r="595" spans="1:13">
      <c r="A595" s="7">
        <v>592</v>
      </c>
      <c r="B595" s="15">
        <v>44</v>
      </c>
      <c r="C595" s="15">
        <v>4</v>
      </c>
      <c r="D595" s="15">
        <v>4</v>
      </c>
      <c r="E595" s="15">
        <v>7348</v>
      </c>
      <c r="F595" s="8">
        <v>30</v>
      </c>
      <c r="G595" s="8">
        <v>4</v>
      </c>
      <c r="H595" s="15">
        <f>140+39+29+79</f>
        <v>287</v>
      </c>
      <c r="I595" s="7">
        <f t="shared" si="40"/>
        <v>264</v>
      </c>
      <c r="J595" s="10">
        <v>45766</v>
      </c>
      <c r="K595" s="10">
        <v>45776</v>
      </c>
      <c r="L595" s="14" t="s">
        <v>24</v>
      </c>
      <c r="M595" s="12">
        <f t="shared" si="41"/>
        <v>44239503.069999993</v>
      </c>
    </row>
    <row r="596" spans="1:13">
      <c r="A596" s="7">
        <v>593</v>
      </c>
      <c r="B596" s="15">
        <v>40</v>
      </c>
      <c r="C596" s="15">
        <v>4</v>
      </c>
      <c r="D596" s="15">
        <v>5</v>
      </c>
      <c r="E596" s="15">
        <v>953</v>
      </c>
      <c r="F596" s="15">
        <v>30</v>
      </c>
      <c r="G596" s="15">
        <v>4</v>
      </c>
      <c r="H596" s="7">
        <f>177+39+79</f>
        <v>295</v>
      </c>
      <c r="I596" s="9">
        <f t="shared" si="40"/>
        <v>288</v>
      </c>
      <c r="J596" s="10">
        <v>45766</v>
      </c>
      <c r="K596" s="10">
        <v>45777</v>
      </c>
      <c r="L596" s="11" t="s">
        <v>67</v>
      </c>
      <c r="M596" s="12">
        <f t="shared" si="41"/>
        <v>45472659.949999996</v>
      </c>
    </row>
    <row r="597" spans="1:13">
      <c r="A597" s="7">
        <v>594</v>
      </c>
      <c r="B597" s="15">
        <v>44</v>
      </c>
      <c r="C597" s="15">
        <v>4</v>
      </c>
      <c r="D597" s="15">
        <v>5</v>
      </c>
      <c r="E597" s="15">
        <v>624</v>
      </c>
      <c r="F597" s="8">
        <v>103</v>
      </c>
      <c r="G597" s="8">
        <v>7</v>
      </c>
      <c r="H597" s="7">
        <f>177+29+79</f>
        <v>285</v>
      </c>
      <c r="I597" s="9">
        <f t="shared" si="40"/>
        <v>216</v>
      </c>
      <c r="J597" s="10">
        <v>45776</v>
      </c>
      <c r="K597" s="10">
        <v>45784</v>
      </c>
      <c r="L597" s="11" t="s">
        <v>248</v>
      </c>
      <c r="M597" s="12">
        <f t="shared" si="41"/>
        <v>43931213.849999994</v>
      </c>
    </row>
    <row r="598" spans="1:13">
      <c r="A598" s="7">
        <v>595</v>
      </c>
      <c r="B598" s="24">
        <v>42</v>
      </c>
      <c r="C598" s="15">
        <v>4</v>
      </c>
      <c r="D598" s="15">
        <v>5</v>
      </c>
      <c r="E598" s="15">
        <v>8915</v>
      </c>
      <c r="F598" s="8">
        <v>28</v>
      </c>
      <c r="G598" s="8">
        <v>4</v>
      </c>
      <c r="H598" s="7">
        <f>164+29+79</f>
        <v>272</v>
      </c>
      <c r="I598" s="9">
        <f t="shared" si="40"/>
        <v>552</v>
      </c>
      <c r="J598" s="10">
        <v>45763</v>
      </c>
      <c r="K598" s="10">
        <v>45785</v>
      </c>
      <c r="L598" s="11" t="s">
        <v>227</v>
      </c>
      <c r="M598" s="12">
        <f t="shared" si="41"/>
        <v>41927333.919999994</v>
      </c>
    </row>
    <row r="599" spans="1:13">
      <c r="A599" s="7">
        <v>596</v>
      </c>
      <c r="B599" s="15">
        <v>37</v>
      </c>
      <c r="C599" s="15">
        <v>4</v>
      </c>
      <c r="D599" s="15">
        <v>5</v>
      </c>
      <c r="E599" s="15">
        <v>8984</v>
      </c>
      <c r="F599" s="8">
        <v>102</v>
      </c>
      <c r="G599" s="8">
        <v>4</v>
      </c>
      <c r="H599" s="7">
        <f>39+392+234+79</f>
        <v>744</v>
      </c>
      <c r="I599" s="9">
        <f t="shared" si="40"/>
        <v>744</v>
      </c>
      <c r="J599" s="10">
        <v>45757</v>
      </c>
      <c r="K599" s="10">
        <v>45787</v>
      </c>
      <c r="L599" s="11" t="s">
        <v>226</v>
      </c>
      <c r="M599" s="12">
        <f t="shared" si="41"/>
        <v>114683589.83999999</v>
      </c>
    </row>
    <row r="600" spans="1:13">
      <c r="A600" s="7">
        <v>597</v>
      </c>
      <c r="B600" s="15">
        <v>43</v>
      </c>
      <c r="C600" s="15">
        <v>4</v>
      </c>
      <c r="D600" s="15">
        <v>5</v>
      </c>
      <c r="E600" s="15">
        <v>717</v>
      </c>
      <c r="F600" s="8" t="s">
        <v>18</v>
      </c>
      <c r="G600" s="8" t="s">
        <v>17</v>
      </c>
      <c r="H600" s="7">
        <f>202+37+29+39+71</f>
        <v>378</v>
      </c>
      <c r="I600" s="9">
        <f t="shared" si="40"/>
        <v>384</v>
      </c>
      <c r="J600" s="10">
        <v>45763</v>
      </c>
      <c r="K600" s="10">
        <v>45778</v>
      </c>
      <c r="L600" s="11" t="s">
        <v>212</v>
      </c>
      <c r="M600" s="12">
        <f t="shared" si="41"/>
        <v>58266662.579999998</v>
      </c>
    </row>
    <row r="601" spans="1:13" ht="31.5">
      <c r="A601" s="7">
        <v>598</v>
      </c>
      <c r="B601" s="15">
        <v>8</v>
      </c>
      <c r="C601" s="15">
        <v>4</v>
      </c>
      <c r="D601" s="15">
        <v>5</v>
      </c>
      <c r="E601" s="15">
        <v>9</v>
      </c>
      <c r="F601" s="21" t="s">
        <v>29</v>
      </c>
      <c r="G601" s="21"/>
      <c r="H601" s="7">
        <f>112+39+29+90</f>
        <v>270</v>
      </c>
      <c r="I601" s="9">
        <f t="shared" si="40"/>
        <v>672</v>
      </c>
      <c r="J601" s="10">
        <v>45756</v>
      </c>
      <c r="K601" s="10">
        <v>45783</v>
      </c>
      <c r="L601" s="11" t="s">
        <v>80</v>
      </c>
      <c r="M601" s="12">
        <f>H601*154144.61-608000</f>
        <v>41011044.699999996</v>
      </c>
    </row>
    <row r="602" spans="1:13">
      <c r="A602" s="7">
        <v>599</v>
      </c>
      <c r="B602" s="15">
        <v>41</v>
      </c>
      <c r="C602" s="15">
        <v>4</v>
      </c>
      <c r="D602" s="15">
        <v>5</v>
      </c>
      <c r="E602" s="15">
        <v>794</v>
      </c>
      <c r="F602" s="8">
        <v>100</v>
      </c>
      <c r="G602" s="8">
        <v>7</v>
      </c>
      <c r="H602" s="7">
        <f>177+29+79</f>
        <v>285</v>
      </c>
      <c r="I602" s="9">
        <f t="shared" si="40"/>
        <v>240</v>
      </c>
      <c r="J602" s="10">
        <v>45799</v>
      </c>
      <c r="K602" s="10">
        <v>45808</v>
      </c>
      <c r="L602" s="11" t="s">
        <v>248</v>
      </c>
      <c r="M602" s="12">
        <f>H602*154144.61</f>
        <v>43931213.849999994</v>
      </c>
    </row>
    <row r="603" spans="1:13">
      <c r="A603" s="7">
        <v>600</v>
      </c>
      <c r="B603" s="15">
        <v>40</v>
      </c>
      <c r="C603" s="15">
        <v>4</v>
      </c>
      <c r="D603" s="15">
        <v>5</v>
      </c>
      <c r="E603" s="15">
        <v>6241</v>
      </c>
      <c r="F603" s="15" t="s">
        <v>20</v>
      </c>
      <c r="G603" s="15" t="s">
        <v>17</v>
      </c>
      <c r="H603" s="7">
        <f>140+234+71</f>
        <v>445</v>
      </c>
      <c r="I603" s="9">
        <f t="shared" si="40"/>
        <v>504</v>
      </c>
      <c r="J603" s="10">
        <v>45778</v>
      </c>
      <c r="K603" s="10">
        <v>45798</v>
      </c>
      <c r="L603" s="11" t="s">
        <v>216</v>
      </c>
      <c r="M603" s="12">
        <f>H603*154144.61</f>
        <v>68594351.449999988</v>
      </c>
    </row>
    <row r="604" spans="1:13">
      <c r="A604" s="7">
        <v>601</v>
      </c>
      <c r="B604" s="15">
        <v>41</v>
      </c>
      <c r="C604" s="15">
        <v>4</v>
      </c>
      <c r="D604" s="15">
        <v>5</v>
      </c>
      <c r="E604" s="15">
        <v>733</v>
      </c>
      <c r="F604" s="15">
        <v>7</v>
      </c>
      <c r="G604" s="15">
        <v>101</v>
      </c>
      <c r="H604" s="7">
        <f>177+29+137+39+72</f>
        <v>454</v>
      </c>
      <c r="I604" s="9">
        <f t="shared" si="40"/>
        <v>576</v>
      </c>
      <c r="J604" s="10">
        <v>45775</v>
      </c>
      <c r="K604" s="10">
        <v>45798</v>
      </c>
      <c r="L604" s="14" t="s">
        <v>249</v>
      </c>
      <c r="M604" s="12">
        <f>H604*154144.61</f>
        <v>69981652.939999998</v>
      </c>
    </row>
    <row r="605" spans="1:13" ht="31.5">
      <c r="A605" s="7">
        <v>602</v>
      </c>
      <c r="B605" s="15">
        <v>8</v>
      </c>
      <c r="C605" s="15">
        <v>4</v>
      </c>
      <c r="D605" s="15">
        <v>5</v>
      </c>
      <c r="E605" s="15">
        <v>20</v>
      </c>
      <c r="F605" s="21" t="s">
        <v>29</v>
      </c>
      <c r="G605" s="21"/>
      <c r="H605" s="7">
        <f>318+29+79</f>
        <v>426</v>
      </c>
      <c r="I605" s="9">
        <f t="shared" si="40"/>
        <v>264</v>
      </c>
      <c r="J605" s="10">
        <v>45789</v>
      </c>
      <c r="K605" s="10">
        <v>45799</v>
      </c>
      <c r="L605" s="11" t="s">
        <v>217</v>
      </c>
      <c r="M605" s="12">
        <f>H605*154144.61</f>
        <v>65665603.859999992</v>
      </c>
    </row>
    <row r="606" spans="1:13">
      <c r="A606" s="7">
        <v>603</v>
      </c>
      <c r="B606" s="15">
        <v>38</v>
      </c>
      <c r="C606" s="15">
        <v>4</v>
      </c>
      <c r="D606" s="15">
        <v>5</v>
      </c>
      <c r="E606" s="15">
        <v>28</v>
      </c>
      <c r="F606" s="15" t="s">
        <v>87</v>
      </c>
      <c r="G606" s="15" t="s">
        <v>17</v>
      </c>
      <c r="H606" s="7">
        <f>177+39+112+29+82</f>
        <v>439</v>
      </c>
      <c r="I606" s="9">
        <f t="shared" si="40"/>
        <v>960</v>
      </c>
      <c r="J606" s="10">
        <v>45761</v>
      </c>
      <c r="K606" s="10">
        <v>45800</v>
      </c>
      <c r="L606" s="11" t="s">
        <v>250</v>
      </c>
      <c r="M606" s="12">
        <f>H606*154144.61</f>
        <v>67669483.789999992</v>
      </c>
    </row>
    <row r="607" spans="1:13">
      <c r="A607" s="7">
        <v>604</v>
      </c>
      <c r="B607" s="15">
        <v>45</v>
      </c>
      <c r="C607" s="15">
        <v>4</v>
      </c>
      <c r="D607" s="15">
        <v>5</v>
      </c>
      <c r="E607" s="15">
        <v>587</v>
      </c>
      <c r="F607" s="15" t="s">
        <v>87</v>
      </c>
      <c r="G607" s="15" t="s">
        <v>17</v>
      </c>
      <c r="H607" s="7">
        <f>29+137+66</f>
        <v>232</v>
      </c>
      <c r="I607" s="9">
        <f t="shared" si="40"/>
        <v>696</v>
      </c>
      <c r="J607" s="10">
        <v>45773</v>
      </c>
      <c r="K607" s="10">
        <v>45801</v>
      </c>
      <c r="L607" s="14" t="s">
        <v>218</v>
      </c>
      <c r="M607" s="12">
        <f>H607*154144.61-408000</f>
        <v>35353549.519999996</v>
      </c>
    </row>
    <row r="608" spans="1:13">
      <c r="A608" s="7">
        <v>605</v>
      </c>
      <c r="B608" s="15">
        <v>42</v>
      </c>
      <c r="C608" s="15">
        <v>4</v>
      </c>
      <c r="D608" s="15">
        <v>5</v>
      </c>
      <c r="E608" s="15">
        <v>398</v>
      </c>
      <c r="F608" s="15">
        <v>121</v>
      </c>
      <c r="G608" s="15">
        <v>7</v>
      </c>
      <c r="H608" s="7">
        <f>268+39+29+79</f>
        <v>415</v>
      </c>
      <c r="I608" s="9">
        <f t="shared" si="40"/>
        <v>504</v>
      </c>
      <c r="J608" s="10">
        <v>45785</v>
      </c>
      <c r="K608" s="10">
        <v>45805</v>
      </c>
      <c r="L608" s="14" t="s">
        <v>228</v>
      </c>
      <c r="M608" s="12">
        <f>H608*154144.61-100000</f>
        <v>63870013.149999991</v>
      </c>
    </row>
    <row r="609" spans="1:13">
      <c r="A609" s="7">
        <v>606</v>
      </c>
      <c r="B609" s="15">
        <v>43</v>
      </c>
      <c r="C609" s="15">
        <v>4</v>
      </c>
      <c r="D609" s="15">
        <v>5</v>
      </c>
      <c r="E609" s="15">
        <v>565</v>
      </c>
      <c r="F609" s="15" t="s">
        <v>87</v>
      </c>
      <c r="G609" s="15" t="s">
        <v>17</v>
      </c>
      <c r="H609" s="7">
        <f>177+39+71</f>
        <v>287</v>
      </c>
      <c r="I609" s="9">
        <f t="shared" si="40"/>
        <v>96</v>
      </c>
      <c r="J609" s="10">
        <v>45801</v>
      </c>
      <c r="K609" s="10">
        <v>45804</v>
      </c>
      <c r="L609" s="14" t="s">
        <v>244</v>
      </c>
      <c r="M609" s="12">
        <f t="shared" ref="M609:M640" si="42">H609*154144.61</f>
        <v>44239503.069999993</v>
      </c>
    </row>
    <row r="610" spans="1:13">
      <c r="A610" s="7">
        <v>607</v>
      </c>
      <c r="B610" s="7">
        <v>8</v>
      </c>
      <c r="C610" s="15">
        <v>4</v>
      </c>
      <c r="D610" s="15">
        <v>6</v>
      </c>
      <c r="E610" s="7">
        <v>22</v>
      </c>
      <c r="F610" s="36" t="s">
        <v>254</v>
      </c>
      <c r="G610" s="36"/>
      <c r="H610" s="7">
        <f>71+39</f>
        <v>110</v>
      </c>
      <c r="I610" s="15">
        <f t="shared" si="40"/>
        <v>144</v>
      </c>
      <c r="J610" s="10">
        <v>45800</v>
      </c>
      <c r="K610" s="10">
        <v>45805</v>
      </c>
      <c r="L610" s="27" t="s">
        <v>34</v>
      </c>
      <c r="M610" s="12">
        <f t="shared" si="42"/>
        <v>16955907.099999998</v>
      </c>
    </row>
    <row r="611" spans="1:13">
      <c r="A611" s="7">
        <v>608</v>
      </c>
      <c r="B611" s="7">
        <v>8</v>
      </c>
      <c r="C611" s="15">
        <v>4</v>
      </c>
      <c r="D611" s="15">
        <v>6</v>
      </c>
      <c r="E611" s="7">
        <v>27</v>
      </c>
      <c r="F611" s="36" t="s">
        <v>254</v>
      </c>
      <c r="G611" s="36"/>
      <c r="H611" s="7">
        <f>71+39</f>
        <v>110</v>
      </c>
      <c r="I611" s="15">
        <f t="shared" si="40"/>
        <v>168</v>
      </c>
      <c r="J611" s="10">
        <v>45806</v>
      </c>
      <c r="K611" s="10">
        <v>45812</v>
      </c>
      <c r="L611" s="11" t="s">
        <v>34</v>
      </c>
      <c r="M611" s="12">
        <f t="shared" si="42"/>
        <v>16955907.099999998</v>
      </c>
    </row>
    <row r="612" spans="1:13">
      <c r="A612" s="7">
        <v>609</v>
      </c>
      <c r="B612" s="22">
        <v>8</v>
      </c>
      <c r="C612" s="22">
        <v>4</v>
      </c>
      <c r="D612" s="15">
        <v>6</v>
      </c>
      <c r="E612" s="22">
        <v>21</v>
      </c>
      <c r="F612" s="32" t="s">
        <v>242</v>
      </c>
      <c r="G612" s="32"/>
      <c r="H612" s="7">
        <f>29+79</f>
        <v>108</v>
      </c>
      <c r="I612" s="9">
        <f t="shared" si="40"/>
        <v>144</v>
      </c>
      <c r="J612" s="10">
        <v>45783</v>
      </c>
      <c r="K612" s="10">
        <v>45788</v>
      </c>
      <c r="L612" s="33" t="s">
        <v>267</v>
      </c>
      <c r="M612" s="12">
        <f t="shared" si="42"/>
        <v>16647617.879999999</v>
      </c>
    </row>
    <row r="613" spans="1:13">
      <c r="A613" s="7">
        <v>610</v>
      </c>
      <c r="B613" s="22">
        <v>40</v>
      </c>
      <c r="C613" s="22">
        <v>4</v>
      </c>
      <c r="D613" s="15">
        <v>6</v>
      </c>
      <c r="E613" s="22">
        <v>4926</v>
      </c>
      <c r="F613" s="22">
        <v>88</v>
      </c>
      <c r="G613" s="22">
        <v>2</v>
      </c>
      <c r="H613" s="7">
        <f>177+39+79</f>
        <v>295</v>
      </c>
      <c r="I613" s="9">
        <f t="shared" si="40"/>
        <v>144</v>
      </c>
      <c r="J613" s="10">
        <v>45799</v>
      </c>
      <c r="K613" s="10">
        <v>45804</v>
      </c>
      <c r="L613" s="11" t="s">
        <v>211</v>
      </c>
      <c r="M613" s="12">
        <f t="shared" si="42"/>
        <v>45472659.949999996</v>
      </c>
    </row>
    <row r="614" spans="1:13">
      <c r="A614" s="7">
        <v>611</v>
      </c>
      <c r="B614" s="24">
        <v>37</v>
      </c>
      <c r="C614" s="22">
        <v>4</v>
      </c>
      <c r="D614" s="15">
        <v>6</v>
      </c>
      <c r="E614" s="15">
        <v>780</v>
      </c>
      <c r="F614" s="8">
        <v>79</v>
      </c>
      <c r="G614" s="8">
        <v>7</v>
      </c>
      <c r="H614" s="7">
        <f>112+39+29+79</f>
        <v>259</v>
      </c>
      <c r="I614" s="9">
        <f t="shared" si="40"/>
        <v>576</v>
      </c>
      <c r="J614" s="10">
        <v>45787</v>
      </c>
      <c r="K614" s="10">
        <v>45810</v>
      </c>
      <c r="L614" s="11" t="s">
        <v>80</v>
      </c>
      <c r="M614" s="12">
        <f t="shared" si="42"/>
        <v>39923453.989999995</v>
      </c>
    </row>
    <row r="615" spans="1:13">
      <c r="A615" s="7">
        <v>612</v>
      </c>
      <c r="B615" s="15">
        <v>44</v>
      </c>
      <c r="C615" s="22">
        <v>4</v>
      </c>
      <c r="D615" s="15">
        <v>6</v>
      </c>
      <c r="E615" s="15">
        <v>6662</v>
      </c>
      <c r="F615" s="8">
        <v>102</v>
      </c>
      <c r="G615" s="8">
        <v>4</v>
      </c>
      <c r="H615" s="7">
        <f>112+29+79</f>
        <v>220</v>
      </c>
      <c r="I615" s="9">
        <f t="shared" si="40"/>
        <v>792</v>
      </c>
      <c r="J615" s="10">
        <v>45784</v>
      </c>
      <c r="K615" s="10">
        <v>45816</v>
      </c>
      <c r="L615" s="11" t="s">
        <v>277</v>
      </c>
      <c r="M615" s="12">
        <f t="shared" si="42"/>
        <v>33911814.199999996</v>
      </c>
    </row>
    <row r="616" spans="1:13">
      <c r="A616" s="7">
        <v>613</v>
      </c>
      <c r="B616" s="15">
        <v>38</v>
      </c>
      <c r="C616" s="22">
        <v>4</v>
      </c>
      <c r="D616" s="15">
        <v>6</v>
      </c>
      <c r="E616" s="15">
        <v>8988</v>
      </c>
      <c r="F616" s="8">
        <v>28</v>
      </c>
      <c r="G616" s="8">
        <v>4</v>
      </c>
      <c r="H616" s="7">
        <f>392+39+72</f>
        <v>503</v>
      </c>
      <c r="I616" s="9">
        <f t="shared" si="40"/>
        <v>432</v>
      </c>
      <c r="J616" s="10">
        <v>45801</v>
      </c>
      <c r="K616" s="10">
        <v>45818</v>
      </c>
      <c r="L616" s="11" t="s">
        <v>290</v>
      </c>
      <c r="M616" s="12">
        <f t="shared" si="42"/>
        <v>77534738.829999998</v>
      </c>
    </row>
    <row r="617" spans="1:13">
      <c r="A617" s="7">
        <v>614</v>
      </c>
      <c r="B617" s="15">
        <v>40</v>
      </c>
      <c r="C617" s="22">
        <v>4</v>
      </c>
      <c r="D617" s="15">
        <v>6</v>
      </c>
      <c r="E617" s="15">
        <v>5797</v>
      </c>
      <c r="F617" s="8" t="s">
        <v>20</v>
      </c>
      <c r="G617" s="8" t="s">
        <v>17</v>
      </c>
      <c r="H617" s="7">
        <f>140+39+66</f>
        <v>245</v>
      </c>
      <c r="I617" s="9">
        <f t="shared" si="40"/>
        <v>144</v>
      </c>
      <c r="J617" s="10">
        <v>45805</v>
      </c>
      <c r="K617" s="10">
        <v>45810</v>
      </c>
      <c r="L617" s="11" t="s">
        <v>278</v>
      </c>
      <c r="M617" s="12">
        <f t="shared" si="42"/>
        <v>37765429.449999996</v>
      </c>
    </row>
    <row r="618" spans="1:13" ht="31.5">
      <c r="A618" s="7">
        <v>615</v>
      </c>
      <c r="B618" s="15">
        <v>43</v>
      </c>
      <c r="C618" s="22">
        <v>4</v>
      </c>
      <c r="D618" s="15">
        <v>6</v>
      </c>
      <c r="E618" s="15">
        <v>4580</v>
      </c>
      <c r="F618" s="15" t="s">
        <v>18</v>
      </c>
      <c r="G618" s="15" t="s">
        <v>17</v>
      </c>
      <c r="H618" s="7">
        <f>74+137+39+66</f>
        <v>316</v>
      </c>
      <c r="I618" s="9">
        <f t="shared" si="40"/>
        <v>360</v>
      </c>
      <c r="J618" s="10">
        <v>45805</v>
      </c>
      <c r="K618" s="10">
        <v>45819</v>
      </c>
      <c r="L618" s="11" t="s">
        <v>257</v>
      </c>
      <c r="M618" s="12">
        <f t="shared" si="42"/>
        <v>48709696.759999998</v>
      </c>
    </row>
    <row r="619" spans="1:13">
      <c r="A619" s="7">
        <v>616</v>
      </c>
      <c r="B619" s="15">
        <v>42</v>
      </c>
      <c r="C619" s="22">
        <v>4</v>
      </c>
      <c r="D619" s="15">
        <v>6</v>
      </c>
      <c r="E619" s="15">
        <v>6629</v>
      </c>
      <c r="F619" s="15">
        <v>102</v>
      </c>
      <c r="G619" s="15">
        <v>4</v>
      </c>
      <c r="H619" s="7">
        <f>140+234+79</f>
        <v>453</v>
      </c>
      <c r="I619" s="9">
        <f t="shared" si="40"/>
        <v>456</v>
      </c>
      <c r="J619" s="10">
        <v>45806</v>
      </c>
      <c r="K619" s="10">
        <v>45824</v>
      </c>
      <c r="L619" s="11" t="s">
        <v>258</v>
      </c>
      <c r="M619" s="12">
        <f t="shared" si="42"/>
        <v>69827508.329999998</v>
      </c>
    </row>
    <row r="620" spans="1:13">
      <c r="A620" s="7">
        <v>617</v>
      </c>
      <c r="B620" s="15">
        <v>38</v>
      </c>
      <c r="C620" s="22">
        <v>4</v>
      </c>
      <c r="D620" s="15">
        <v>6</v>
      </c>
      <c r="E620" s="15">
        <v>4275</v>
      </c>
      <c r="F620" s="15">
        <v>102</v>
      </c>
      <c r="G620" s="15">
        <v>4</v>
      </c>
      <c r="H620" s="7">
        <f>221+79</f>
        <v>300</v>
      </c>
      <c r="I620" s="9">
        <f t="shared" si="40"/>
        <v>192</v>
      </c>
      <c r="J620" s="10">
        <v>45819</v>
      </c>
      <c r="K620" s="10">
        <v>45826</v>
      </c>
      <c r="L620" s="11" t="s">
        <v>78</v>
      </c>
      <c r="M620" s="12">
        <f t="shared" si="42"/>
        <v>46243382.999999993</v>
      </c>
    </row>
    <row r="621" spans="1:13">
      <c r="A621" s="7">
        <v>618</v>
      </c>
      <c r="B621" s="15">
        <v>41</v>
      </c>
      <c r="C621" s="22">
        <v>4</v>
      </c>
      <c r="D621" s="15">
        <v>6</v>
      </c>
      <c r="E621" s="15">
        <v>771</v>
      </c>
      <c r="F621" s="15" t="s">
        <v>18</v>
      </c>
      <c r="G621" s="15" t="s">
        <v>17</v>
      </c>
      <c r="H621" s="7">
        <f>140+234+71</f>
        <v>445</v>
      </c>
      <c r="I621" s="9">
        <f t="shared" si="40"/>
        <v>192</v>
      </c>
      <c r="J621" s="10">
        <v>45819</v>
      </c>
      <c r="K621" s="10">
        <v>45826</v>
      </c>
      <c r="L621" s="11" t="s">
        <v>258</v>
      </c>
      <c r="M621" s="12">
        <f t="shared" si="42"/>
        <v>68594351.449999988</v>
      </c>
    </row>
    <row r="622" spans="1:13" ht="31.5">
      <c r="A622" s="7">
        <v>619</v>
      </c>
      <c r="B622" s="15">
        <v>43</v>
      </c>
      <c r="C622" s="22">
        <v>4</v>
      </c>
      <c r="D622" s="15">
        <v>6</v>
      </c>
      <c r="E622" s="15">
        <v>137</v>
      </c>
      <c r="F622" s="21" t="s">
        <v>260</v>
      </c>
      <c r="G622" s="21"/>
      <c r="H622" s="7">
        <f>140+29+71</f>
        <v>240</v>
      </c>
      <c r="I622" s="9">
        <f t="shared" si="40"/>
        <v>240</v>
      </c>
      <c r="J622" s="10">
        <v>45820</v>
      </c>
      <c r="K622" s="10">
        <v>45829</v>
      </c>
      <c r="L622" s="11" t="s">
        <v>261</v>
      </c>
      <c r="M622" s="12">
        <f t="shared" si="42"/>
        <v>36994706.399999999</v>
      </c>
    </row>
    <row r="623" spans="1:13">
      <c r="A623" s="7">
        <v>620</v>
      </c>
      <c r="B623" s="15">
        <v>37</v>
      </c>
      <c r="C623" s="22">
        <v>4</v>
      </c>
      <c r="D623" s="15">
        <v>6</v>
      </c>
      <c r="E623" s="15">
        <v>851</v>
      </c>
      <c r="F623" s="15">
        <v>102</v>
      </c>
      <c r="G623" s="15">
        <v>4</v>
      </c>
      <c r="H623" s="7">
        <f>140+234+79</f>
        <v>453</v>
      </c>
      <c r="I623" s="9">
        <f t="shared" si="40"/>
        <v>456</v>
      </c>
      <c r="J623" s="10">
        <v>45814</v>
      </c>
      <c r="K623" s="10">
        <v>45832</v>
      </c>
      <c r="L623" s="14" t="s">
        <v>258</v>
      </c>
      <c r="M623" s="12">
        <f t="shared" si="42"/>
        <v>69827508.329999998</v>
      </c>
    </row>
    <row r="624" spans="1:13" ht="31.5">
      <c r="A624" s="7">
        <v>621</v>
      </c>
      <c r="B624" s="15">
        <v>40</v>
      </c>
      <c r="C624" s="22">
        <v>4</v>
      </c>
      <c r="D624" s="15">
        <v>6</v>
      </c>
      <c r="E624" s="15">
        <v>2145</v>
      </c>
      <c r="F624" s="15">
        <v>6</v>
      </c>
      <c r="G624" s="15">
        <v>23</v>
      </c>
      <c r="H624" s="7">
        <f>166+39+29+72</f>
        <v>306</v>
      </c>
      <c r="I624" s="9">
        <f t="shared" si="40"/>
        <v>600</v>
      </c>
      <c r="J624" s="10">
        <v>45811</v>
      </c>
      <c r="K624" s="10">
        <v>45835</v>
      </c>
      <c r="L624" s="14" t="s">
        <v>265</v>
      </c>
      <c r="M624" s="12">
        <f t="shared" si="42"/>
        <v>47168250.659999996</v>
      </c>
    </row>
    <row r="625" spans="1:13">
      <c r="A625" s="7">
        <v>622</v>
      </c>
      <c r="B625" s="22">
        <v>37</v>
      </c>
      <c r="C625" s="22">
        <v>4</v>
      </c>
      <c r="D625" s="15">
        <v>7</v>
      </c>
      <c r="E625" s="22">
        <v>523</v>
      </c>
      <c r="F625" s="8">
        <v>103</v>
      </c>
      <c r="G625" s="8">
        <v>7</v>
      </c>
      <c r="H625" s="7">
        <f>177+45+79</f>
        <v>301</v>
      </c>
      <c r="I625" s="9">
        <f t="shared" si="40"/>
        <v>336</v>
      </c>
      <c r="J625" s="10">
        <v>45832</v>
      </c>
      <c r="K625" s="10">
        <v>45845</v>
      </c>
      <c r="L625" s="11" t="s">
        <v>292</v>
      </c>
      <c r="M625" s="12">
        <f t="shared" si="42"/>
        <v>46397527.609999999</v>
      </c>
    </row>
    <row r="626" spans="1:13">
      <c r="A626" s="7">
        <v>623</v>
      </c>
      <c r="B626" s="22">
        <v>42</v>
      </c>
      <c r="C626" s="22">
        <v>4</v>
      </c>
      <c r="D626" s="15">
        <v>7</v>
      </c>
      <c r="E626" s="22">
        <v>730</v>
      </c>
      <c r="F626" s="22" t="s">
        <v>87</v>
      </c>
      <c r="G626" s="22" t="s">
        <v>17</v>
      </c>
      <c r="H626" s="7">
        <f>268+71</f>
        <v>339</v>
      </c>
      <c r="I626" s="9">
        <f t="shared" si="40"/>
        <v>360</v>
      </c>
      <c r="J626" s="10">
        <v>45825</v>
      </c>
      <c r="K626" s="10">
        <v>45839</v>
      </c>
      <c r="L626" s="11" t="s">
        <v>293</v>
      </c>
      <c r="M626" s="12">
        <f t="shared" si="42"/>
        <v>52255022.789999992</v>
      </c>
    </row>
    <row r="627" spans="1:13" ht="31.5">
      <c r="A627" s="7">
        <v>624</v>
      </c>
      <c r="B627" s="24">
        <v>8</v>
      </c>
      <c r="C627" s="22">
        <v>4</v>
      </c>
      <c r="D627" s="15">
        <v>7</v>
      </c>
      <c r="E627" s="15">
        <v>28</v>
      </c>
      <c r="F627" s="36" t="s">
        <v>29</v>
      </c>
      <c r="G627" s="36"/>
      <c r="H627" s="7">
        <f>39+234+39+29+79</f>
        <v>420</v>
      </c>
      <c r="I627" s="9">
        <f t="shared" si="40"/>
        <v>744</v>
      </c>
      <c r="J627" s="10">
        <v>45813</v>
      </c>
      <c r="K627" s="10">
        <v>45843</v>
      </c>
      <c r="L627" s="11" t="s">
        <v>321</v>
      </c>
      <c r="M627" s="12">
        <f t="shared" si="42"/>
        <v>64740736.199999996</v>
      </c>
    </row>
    <row r="628" spans="1:13">
      <c r="A628" s="7">
        <v>625</v>
      </c>
      <c r="B628" s="15">
        <v>43</v>
      </c>
      <c r="C628" s="22">
        <v>4</v>
      </c>
      <c r="D628" s="15">
        <v>7</v>
      </c>
      <c r="E628" s="15">
        <v>4932</v>
      </c>
      <c r="F628" s="22" t="s">
        <v>18</v>
      </c>
      <c r="G628" s="22" t="s">
        <v>17</v>
      </c>
      <c r="H628" s="7">
        <f>137+66</f>
        <v>203</v>
      </c>
      <c r="I628" s="9">
        <f t="shared" si="40"/>
        <v>528</v>
      </c>
      <c r="J628" s="10">
        <v>45830</v>
      </c>
      <c r="K628" s="10">
        <v>45851</v>
      </c>
      <c r="L628" s="11" t="s">
        <v>298</v>
      </c>
      <c r="M628" s="12">
        <f t="shared" si="42"/>
        <v>31291355.829999998</v>
      </c>
    </row>
    <row r="629" spans="1:13">
      <c r="A629" s="7">
        <v>626</v>
      </c>
      <c r="B629" s="15">
        <v>45</v>
      </c>
      <c r="C629" s="22">
        <v>4</v>
      </c>
      <c r="D629" s="15">
        <v>7</v>
      </c>
      <c r="E629" s="15">
        <v>884</v>
      </c>
      <c r="F629" s="22" t="s">
        <v>20</v>
      </c>
      <c r="G629" s="22" t="s">
        <v>17</v>
      </c>
      <c r="H629" s="7">
        <f>39+392+39+29+71</f>
        <v>570</v>
      </c>
      <c r="I629" s="9">
        <f t="shared" si="40"/>
        <v>1272</v>
      </c>
      <c r="J629" s="10">
        <v>45802</v>
      </c>
      <c r="K629" s="10">
        <v>45854</v>
      </c>
      <c r="L629" s="11" t="s">
        <v>299</v>
      </c>
      <c r="M629" s="12">
        <f t="shared" si="42"/>
        <v>87862427.699999988</v>
      </c>
    </row>
    <row r="630" spans="1:13" ht="31.5">
      <c r="A630" s="7">
        <v>627</v>
      </c>
      <c r="B630" s="15">
        <v>8</v>
      </c>
      <c r="C630" s="22">
        <v>4</v>
      </c>
      <c r="D630" s="15">
        <v>7</v>
      </c>
      <c r="E630" s="15">
        <v>9</v>
      </c>
      <c r="F630" s="36" t="s">
        <v>29</v>
      </c>
      <c r="G630" s="36"/>
      <c r="H630" s="7">
        <f>112+29+79</f>
        <v>220</v>
      </c>
      <c r="I630" s="9">
        <f t="shared" si="40"/>
        <v>336</v>
      </c>
      <c r="J630" s="10">
        <v>45844</v>
      </c>
      <c r="K630" s="10">
        <v>45857</v>
      </c>
      <c r="L630" s="11" t="s">
        <v>277</v>
      </c>
      <c r="M630" s="12">
        <f t="shared" si="42"/>
        <v>33911814.199999996</v>
      </c>
    </row>
    <row r="631" spans="1:13" ht="31.5">
      <c r="A631" s="7">
        <v>628</v>
      </c>
      <c r="B631" s="15">
        <v>38</v>
      </c>
      <c r="C631" s="22">
        <v>4</v>
      </c>
      <c r="D631" s="15">
        <v>7</v>
      </c>
      <c r="E631" s="15">
        <v>4368</v>
      </c>
      <c r="F631" s="15">
        <v>22</v>
      </c>
      <c r="G631" s="15">
        <v>6</v>
      </c>
      <c r="H631" s="7">
        <f>221+164+234+72</f>
        <v>691</v>
      </c>
      <c r="I631" s="9">
        <f t="shared" si="40"/>
        <v>792</v>
      </c>
      <c r="J631" s="10">
        <v>45827</v>
      </c>
      <c r="K631" s="10">
        <v>45859</v>
      </c>
      <c r="L631" s="11" t="s">
        <v>301</v>
      </c>
      <c r="M631" s="12">
        <f t="shared" si="42"/>
        <v>106513925.50999999</v>
      </c>
    </row>
    <row r="632" spans="1:13">
      <c r="A632" s="7">
        <v>629</v>
      </c>
      <c r="B632" s="15">
        <v>45</v>
      </c>
      <c r="C632" s="22">
        <v>4</v>
      </c>
      <c r="D632" s="15">
        <v>7</v>
      </c>
      <c r="E632" s="15">
        <v>3633</v>
      </c>
      <c r="F632" s="15">
        <v>4</v>
      </c>
      <c r="G632" s="15">
        <v>102</v>
      </c>
      <c r="H632" s="7">
        <f>177+79</f>
        <v>256</v>
      </c>
      <c r="I632" s="9">
        <f t="shared" si="40"/>
        <v>192</v>
      </c>
      <c r="J632" s="10">
        <v>45856</v>
      </c>
      <c r="K632" s="10">
        <v>45863</v>
      </c>
      <c r="L632" s="11" t="s">
        <v>303</v>
      </c>
      <c r="M632" s="12">
        <f t="shared" si="42"/>
        <v>39461020.159999996</v>
      </c>
    </row>
    <row r="633" spans="1:13" ht="31.5">
      <c r="A633" s="7">
        <v>630</v>
      </c>
      <c r="B633" s="15">
        <v>40</v>
      </c>
      <c r="C633" s="22">
        <v>4</v>
      </c>
      <c r="D633" s="15">
        <v>7</v>
      </c>
      <c r="E633" s="15">
        <v>515</v>
      </c>
      <c r="F633" s="15">
        <v>103</v>
      </c>
      <c r="G633" s="15">
        <v>7</v>
      </c>
      <c r="H633" s="7">
        <f>268+39+234+39+29+72</f>
        <v>681</v>
      </c>
      <c r="I633" s="9">
        <f t="shared" si="40"/>
        <v>720</v>
      </c>
      <c r="J633" s="10">
        <v>45835</v>
      </c>
      <c r="K633" s="10">
        <v>45864</v>
      </c>
      <c r="L633" s="11" t="s">
        <v>323</v>
      </c>
      <c r="M633" s="12">
        <f t="shared" si="42"/>
        <v>104972479.41</v>
      </c>
    </row>
    <row r="634" spans="1:13">
      <c r="A634" s="7">
        <v>631</v>
      </c>
      <c r="B634" s="15">
        <v>38</v>
      </c>
      <c r="C634" s="22">
        <v>4</v>
      </c>
      <c r="D634" s="15">
        <v>7</v>
      </c>
      <c r="E634" s="15">
        <v>737</v>
      </c>
      <c r="F634" s="15">
        <v>103</v>
      </c>
      <c r="G634" s="15">
        <v>7</v>
      </c>
      <c r="H634" s="7">
        <f>140+39+79</f>
        <v>258</v>
      </c>
      <c r="I634" s="9">
        <f t="shared" si="40"/>
        <v>168</v>
      </c>
      <c r="J634" s="10">
        <v>45860</v>
      </c>
      <c r="K634" s="10">
        <v>45866</v>
      </c>
      <c r="L634" s="11" t="s">
        <v>40</v>
      </c>
      <c r="M634" s="12">
        <f t="shared" si="42"/>
        <v>39769309.379999995</v>
      </c>
    </row>
    <row r="635" spans="1:13">
      <c r="A635" s="7">
        <v>632</v>
      </c>
      <c r="B635" s="15">
        <v>37</v>
      </c>
      <c r="C635" s="22">
        <v>4</v>
      </c>
      <c r="D635" s="15">
        <v>7</v>
      </c>
      <c r="E635" s="15">
        <v>5304</v>
      </c>
      <c r="F635" s="15">
        <v>27</v>
      </c>
      <c r="G635" s="15">
        <v>4</v>
      </c>
      <c r="H635" s="7">
        <f>177+112+29+79</f>
        <v>397</v>
      </c>
      <c r="I635" s="9">
        <f t="shared" si="40"/>
        <v>528</v>
      </c>
      <c r="J635" s="10">
        <v>45845</v>
      </c>
      <c r="K635" s="10">
        <v>45866</v>
      </c>
      <c r="L635" s="11" t="s">
        <v>322</v>
      </c>
      <c r="M635" s="12">
        <f t="shared" si="42"/>
        <v>61195410.169999994</v>
      </c>
    </row>
    <row r="636" spans="1:13">
      <c r="A636" s="7">
        <v>633</v>
      </c>
      <c r="B636" s="15">
        <v>43</v>
      </c>
      <c r="C636" s="22">
        <v>4</v>
      </c>
      <c r="D636" s="15">
        <v>7</v>
      </c>
      <c r="E636" s="15">
        <v>695</v>
      </c>
      <c r="F636" s="15">
        <v>105</v>
      </c>
      <c r="G636" s="15">
        <v>7</v>
      </c>
      <c r="H636" s="7">
        <f>268+39+79</f>
        <v>386</v>
      </c>
      <c r="I636" s="9">
        <f t="shared" si="40"/>
        <v>432</v>
      </c>
      <c r="J636" s="10">
        <v>45852</v>
      </c>
      <c r="K636" s="10">
        <v>45869</v>
      </c>
      <c r="L636" s="11" t="s">
        <v>324</v>
      </c>
      <c r="M636" s="12">
        <f t="shared" si="42"/>
        <v>59499819.459999993</v>
      </c>
    </row>
    <row r="637" spans="1:13" ht="31.5">
      <c r="A637" s="7">
        <v>634</v>
      </c>
      <c r="B637" s="15">
        <v>8</v>
      </c>
      <c r="C637" s="15">
        <v>4</v>
      </c>
      <c r="D637" s="15">
        <v>8</v>
      </c>
      <c r="E637" s="15">
        <v>24</v>
      </c>
      <c r="F637" s="36" t="s">
        <v>325</v>
      </c>
      <c r="G637" s="36"/>
      <c r="H637" s="7">
        <f>318+234+39+29+71</f>
        <v>691</v>
      </c>
      <c r="I637" s="9">
        <f t="shared" si="40"/>
        <v>552</v>
      </c>
      <c r="J637" s="10">
        <v>45871</v>
      </c>
      <c r="K637" s="10">
        <v>45893</v>
      </c>
      <c r="L637" s="11" t="s">
        <v>358</v>
      </c>
      <c r="M637" s="12">
        <f t="shared" si="42"/>
        <v>106513925.50999999</v>
      </c>
    </row>
    <row r="638" spans="1:13" ht="31.5">
      <c r="A638" s="7">
        <v>635</v>
      </c>
      <c r="B638" s="22">
        <v>8</v>
      </c>
      <c r="C638" s="22">
        <v>4</v>
      </c>
      <c r="D638" s="15">
        <v>8</v>
      </c>
      <c r="E638" s="22">
        <v>1</v>
      </c>
      <c r="F638" s="36" t="s">
        <v>325</v>
      </c>
      <c r="G638" s="36"/>
      <c r="H638" s="7">
        <f>318+39+79</f>
        <v>436</v>
      </c>
      <c r="I638" s="9">
        <f t="shared" si="40"/>
        <v>312</v>
      </c>
      <c r="J638" s="10">
        <v>45858</v>
      </c>
      <c r="K638" s="10">
        <v>45870</v>
      </c>
      <c r="L638" s="11" t="s">
        <v>354</v>
      </c>
      <c r="M638" s="12">
        <f t="shared" si="42"/>
        <v>67207049.959999993</v>
      </c>
    </row>
    <row r="639" spans="1:13">
      <c r="A639" s="7">
        <v>636</v>
      </c>
      <c r="B639" s="24">
        <v>41</v>
      </c>
      <c r="C639" s="22">
        <v>4</v>
      </c>
      <c r="D639" s="15">
        <v>8</v>
      </c>
      <c r="E639" s="15">
        <v>982</v>
      </c>
      <c r="F639" s="22" t="s">
        <v>87</v>
      </c>
      <c r="G639" s="22" t="s">
        <v>17</v>
      </c>
      <c r="H639" s="7">
        <f>140+39+71</f>
        <v>250</v>
      </c>
      <c r="I639" s="9">
        <f t="shared" si="40"/>
        <v>312</v>
      </c>
      <c r="J639" s="10">
        <v>45867</v>
      </c>
      <c r="K639" s="10">
        <v>45879</v>
      </c>
      <c r="L639" s="11" t="s">
        <v>40</v>
      </c>
      <c r="M639" s="12">
        <f t="shared" si="42"/>
        <v>38536152.5</v>
      </c>
    </row>
    <row r="640" spans="1:13" ht="31.5">
      <c r="A640" s="7">
        <v>637</v>
      </c>
      <c r="B640" s="15">
        <v>44</v>
      </c>
      <c r="C640" s="22">
        <v>4</v>
      </c>
      <c r="D640" s="15">
        <v>8</v>
      </c>
      <c r="E640" s="15">
        <v>8095</v>
      </c>
      <c r="F640" s="22">
        <v>10</v>
      </c>
      <c r="G640" s="22">
        <v>6</v>
      </c>
      <c r="H640" s="7">
        <f>177+164+234+72</f>
        <v>647</v>
      </c>
      <c r="I640" s="9">
        <f t="shared" si="40"/>
        <v>1512</v>
      </c>
      <c r="J640" s="10">
        <v>45817</v>
      </c>
      <c r="K640" s="10">
        <v>45879</v>
      </c>
      <c r="L640" s="11" t="s">
        <v>330</v>
      </c>
      <c r="M640" s="12">
        <f t="shared" si="42"/>
        <v>99731562.669999987</v>
      </c>
    </row>
    <row r="641" spans="1:13">
      <c r="A641" s="7">
        <v>638</v>
      </c>
      <c r="B641" s="15">
        <v>41</v>
      </c>
      <c r="C641" s="22">
        <v>4</v>
      </c>
      <c r="D641" s="15">
        <v>8</v>
      </c>
      <c r="E641" s="15">
        <v>731</v>
      </c>
      <c r="F641" s="22">
        <v>101</v>
      </c>
      <c r="G641" s="22">
        <v>7</v>
      </c>
      <c r="H641" s="7">
        <f>177+79</f>
        <v>256</v>
      </c>
      <c r="I641" s="9">
        <f t="shared" si="40"/>
        <v>120</v>
      </c>
      <c r="J641" s="10">
        <v>45880</v>
      </c>
      <c r="K641" s="10">
        <v>45884</v>
      </c>
      <c r="L641" s="11" t="s">
        <v>189</v>
      </c>
      <c r="M641" s="12">
        <f t="shared" ref="M641:M672" si="43">H641*154144.61</f>
        <v>39461020.159999996</v>
      </c>
    </row>
    <row r="642" spans="1:13">
      <c r="A642" s="7">
        <v>639</v>
      </c>
      <c r="B642" s="15">
        <v>38</v>
      </c>
      <c r="C642" s="22">
        <v>4</v>
      </c>
      <c r="D642" s="15">
        <v>8</v>
      </c>
      <c r="E642" s="15">
        <v>925</v>
      </c>
      <c r="F642" s="8">
        <v>102</v>
      </c>
      <c r="G642" s="8">
        <v>4</v>
      </c>
      <c r="H642" s="7">
        <f>177+140+234+79</f>
        <v>630</v>
      </c>
      <c r="I642" s="9">
        <f t="shared" si="40"/>
        <v>480</v>
      </c>
      <c r="J642" s="10">
        <v>45867</v>
      </c>
      <c r="K642" s="10">
        <v>45886</v>
      </c>
      <c r="L642" s="11" t="s">
        <v>355</v>
      </c>
      <c r="M642" s="12">
        <f t="shared" si="43"/>
        <v>97111104.299999997</v>
      </c>
    </row>
    <row r="643" spans="1:13">
      <c r="A643" s="7">
        <v>640</v>
      </c>
      <c r="B643" s="15">
        <v>37</v>
      </c>
      <c r="C643" s="22">
        <v>4</v>
      </c>
      <c r="D643" s="15">
        <v>8</v>
      </c>
      <c r="E643" s="15">
        <v>6596</v>
      </c>
      <c r="F643" s="15">
        <v>28</v>
      </c>
      <c r="G643" s="15">
        <v>4</v>
      </c>
      <c r="H643" s="7">
        <f>112+29+79</f>
        <v>220</v>
      </c>
      <c r="I643" s="9">
        <f t="shared" si="40"/>
        <v>456</v>
      </c>
      <c r="J643" s="10">
        <v>45869</v>
      </c>
      <c r="K643" s="10">
        <v>45887</v>
      </c>
      <c r="L643" s="11" t="s">
        <v>331</v>
      </c>
      <c r="M643" s="12">
        <f t="shared" si="43"/>
        <v>33911814.199999996</v>
      </c>
    </row>
    <row r="644" spans="1:13" ht="31.5">
      <c r="A644" s="7">
        <v>641</v>
      </c>
      <c r="B644" s="15">
        <v>42</v>
      </c>
      <c r="C644" s="22">
        <v>4</v>
      </c>
      <c r="D644" s="15">
        <v>8</v>
      </c>
      <c r="E644" s="15">
        <v>6804</v>
      </c>
      <c r="F644" s="15">
        <v>22</v>
      </c>
      <c r="G644" s="15">
        <v>6</v>
      </c>
      <c r="H644" s="7">
        <f>268+164+29+79</f>
        <v>540</v>
      </c>
      <c r="I644" s="9">
        <f t="shared" ref="I644:I707" si="44">(K644-J644+1)*24</f>
        <v>1200</v>
      </c>
      <c r="J644" s="10">
        <v>45839</v>
      </c>
      <c r="K644" s="10">
        <v>45888</v>
      </c>
      <c r="L644" s="11" t="s">
        <v>356</v>
      </c>
      <c r="M644" s="12">
        <f t="shared" si="43"/>
        <v>83238089.399999991</v>
      </c>
    </row>
    <row r="645" spans="1:13">
      <c r="A645" s="7">
        <v>642</v>
      </c>
      <c r="B645" s="15">
        <v>41</v>
      </c>
      <c r="C645" s="22">
        <v>4</v>
      </c>
      <c r="D645" s="15">
        <v>8</v>
      </c>
      <c r="E645" s="15">
        <v>6252</v>
      </c>
      <c r="F645" s="15">
        <v>28</v>
      </c>
      <c r="G645" s="15">
        <v>4</v>
      </c>
      <c r="H645" s="7">
        <f>140+79</f>
        <v>219</v>
      </c>
      <c r="I645" s="9">
        <f t="shared" si="44"/>
        <v>216</v>
      </c>
      <c r="J645" s="10">
        <v>45885</v>
      </c>
      <c r="K645" s="10">
        <v>45893</v>
      </c>
      <c r="L645" s="11" t="s">
        <v>357</v>
      </c>
      <c r="M645" s="12">
        <f t="shared" si="43"/>
        <v>33757669.589999996</v>
      </c>
    </row>
    <row r="646" spans="1:13">
      <c r="A646" s="7">
        <v>643</v>
      </c>
      <c r="B646" s="15">
        <v>44</v>
      </c>
      <c r="C646" s="22">
        <v>4</v>
      </c>
      <c r="D646" s="15">
        <v>8</v>
      </c>
      <c r="E646" s="15">
        <v>701</v>
      </c>
      <c r="F646" s="15">
        <v>103</v>
      </c>
      <c r="G646" s="15">
        <v>7</v>
      </c>
      <c r="H646" s="7">
        <f>112+29+79</f>
        <v>220</v>
      </c>
      <c r="I646" s="9">
        <f t="shared" si="44"/>
        <v>336</v>
      </c>
      <c r="J646" s="10">
        <v>45880</v>
      </c>
      <c r="K646" s="10">
        <v>45893</v>
      </c>
      <c r="L646" s="11" t="s">
        <v>331</v>
      </c>
      <c r="M646" s="12">
        <f t="shared" si="43"/>
        <v>33911814.199999996</v>
      </c>
    </row>
    <row r="647" spans="1:13">
      <c r="A647" s="7">
        <v>644</v>
      </c>
      <c r="B647" s="15">
        <v>38</v>
      </c>
      <c r="C647" s="22">
        <v>4</v>
      </c>
      <c r="D647" s="15">
        <v>8</v>
      </c>
      <c r="E647" s="15">
        <v>530</v>
      </c>
      <c r="F647" s="15">
        <v>103</v>
      </c>
      <c r="G647" s="15">
        <v>7</v>
      </c>
      <c r="H647" s="7">
        <f>177+79</f>
        <v>256</v>
      </c>
      <c r="I647" s="9">
        <f t="shared" si="44"/>
        <v>192</v>
      </c>
      <c r="J647" s="10">
        <v>45887</v>
      </c>
      <c r="K647" s="10">
        <v>45894</v>
      </c>
      <c r="L647" s="11" t="s">
        <v>189</v>
      </c>
      <c r="M647" s="12">
        <f t="shared" si="43"/>
        <v>39461020.159999996</v>
      </c>
    </row>
    <row r="648" spans="1:13">
      <c r="A648" s="7">
        <v>645</v>
      </c>
      <c r="B648" s="15">
        <v>45</v>
      </c>
      <c r="C648" s="22">
        <v>4</v>
      </c>
      <c r="D648" s="15">
        <v>8</v>
      </c>
      <c r="E648" s="15">
        <v>914</v>
      </c>
      <c r="F648" s="15">
        <v>102</v>
      </c>
      <c r="G648" s="15">
        <v>4</v>
      </c>
      <c r="H648" s="7">
        <f>140+234+72</f>
        <v>446</v>
      </c>
      <c r="I648" s="9">
        <f t="shared" si="44"/>
        <v>768</v>
      </c>
      <c r="J648" s="10">
        <v>45864</v>
      </c>
      <c r="K648" s="10">
        <v>45895</v>
      </c>
      <c r="L648" s="11" t="s">
        <v>349</v>
      </c>
      <c r="M648" s="12">
        <f t="shared" si="43"/>
        <v>68748496.059999987</v>
      </c>
    </row>
    <row r="649" spans="1:13">
      <c r="A649" s="7">
        <v>646</v>
      </c>
      <c r="B649" s="15">
        <v>45</v>
      </c>
      <c r="C649" s="22">
        <v>4</v>
      </c>
      <c r="D649" s="15">
        <v>8</v>
      </c>
      <c r="E649" s="15">
        <v>133</v>
      </c>
      <c r="F649" s="15">
        <v>101</v>
      </c>
      <c r="G649" s="15">
        <v>7</v>
      </c>
      <c r="H649" s="7">
        <f>177+39+79</f>
        <v>295</v>
      </c>
      <c r="I649" s="9">
        <f t="shared" si="44"/>
        <v>120</v>
      </c>
      <c r="J649" s="10">
        <v>45896</v>
      </c>
      <c r="K649" s="10">
        <v>45900</v>
      </c>
      <c r="L649" s="11" t="s">
        <v>67</v>
      </c>
      <c r="M649" s="12">
        <f t="shared" si="43"/>
        <v>45472659.949999996</v>
      </c>
    </row>
    <row r="650" spans="1:13">
      <c r="A650" s="7">
        <v>647</v>
      </c>
      <c r="B650" s="15">
        <v>37</v>
      </c>
      <c r="C650" s="22">
        <v>4</v>
      </c>
      <c r="D650" s="15">
        <v>8</v>
      </c>
      <c r="E650" s="15">
        <v>393</v>
      </c>
      <c r="F650" s="15">
        <v>103</v>
      </c>
      <c r="G650" s="15">
        <v>7</v>
      </c>
      <c r="H650" s="7">
        <f>177+29+72</f>
        <v>278</v>
      </c>
      <c r="I650" s="9">
        <f t="shared" si="44"/>
        <v>216</v>
      </c>
      <c r="J650" s="10">
        <v>45888</v>
      </c>
      <c r="K650" s="10">
        <v>45896</v>
      </c>
      <c r="L650" s="11" t="s">
        <v>248</v>
      </c>
      <c r="M650" s="12">
        <f t="shared" si="43"/>
        <v>42852201.579999998</v>
      </c>
    </row>
    <row r="651" spans="1:13" ht="31.5">
      <c r="A651" s="7">
        <v>648</v>
      </c>
      <c r="B651" s="22">
        <v>40</v>
      </c>
      <c r="C651" s="22">
        <v>4</v>
      </c>
      <c r="D651" s="15">
        <v>9</v>
      </c>
      <c r="E651" s="22">
        <v>6710</v>
      </c>
      <c r="F651" s="8">
        <v>30</v>
      </c>
      <c r="G651" s="8">
        <v>4</v>
      </c>
      <c r="H651" s="7">
        <f>177+164+39+29+79</f>
        <v>488</v>
      </c>
      <c r="I651" s="9">
        <f t="shared" si="44"/>
        <v>768</v>
      </c>
      <c r="J651" s="10">
        <v>45874</v>
      </c>
      <c r="K651" s="10">
        <v>45905</v>
      </c>
      <c r="L651" s="11" t="s">
        <v>377</v>
      </c>
      <c r="M651" s="12">
        <f t="shared" si="43"/>
        <v>75222569.679999992</v>
      </c>
    </row>
    <row r="652" spans="1:13">
      <c r="A652" s="7">
        <v>649</v>
      </c>
      <c r="B652" s="24">
        <v>42</v>
      </c>
      <c r="C652" s="22">
        <v>4</v>
      </c>
      <c r="D652" s="15">
        <v>9</v>
      </c>
      <c r="E652" s="15">
        <v>183</v>
      </c>
      <c r="F652" s="22">
        <v>101</v>
      </c>
      <c r="G652" s="22">
        <v>7</v>
      </c>
      <c r="H652" s="7">
        <f>177+39+72</f>
        <v>288</v>
      </c>
      <c r="I652" s="9">
        <f t="shared" si="44"/>
        <v>408</v>
      </c>
      <c r="J652" s="10">
        <v>45889</v>
      </c>
      <c r="K652" s="10">
        <v>45905</v>
      </c>
      <c r="L652" s="11" t="s">
        <v>52</v>
      </c>
      <c r="M652" s="12">
        <f t="shared" si="43"/>
        <v>44393647.679999992</v>
      </c>
    </row>
    <row r="653" spans="1:13" ht="15.75" customHeight="1">
      <c r="A653" s="7">
        <v>650</v>
      </c>
      <c r="B653" s="15">
        <v>44</v>
      </c>
      <c r="C653" s="22">
        <v>4</v>
      </c>
      <c r="D653" s="15">
        <v>9</v>
      </c>
      <c r="E653" s="15">
        <v>5132</v>
      </c>
      <c r="F653" s="22">
        <v>107</v>
      </c>
      <c r="G653" s="22">
        <v>6</v>
      </c>
      <c r="H653" s="7">
        <f>177+39+29+72</f>
        <v>317</v>
      </c>
      <c r="I653" s="9">
        <f t="shared" si="44"/>
        <v>360</v>
      </c>
      <c r="J653" s="10">
        <v>45893</v>
      </c>
      <c r="K653" s="10">
        <v>45907</v>
      </c>
      <c r="L653" s="11" t="s">
        <v>63</v>
      </c>
      <c r="M653" s="12">
        <f t="shared" si="43"/>
        <v>48863841.369999997</v>
      </c>
    </row>
    <row r="654" spans="1:13">
      <c r="A654" s="7">
        <v>651</v>
      </c>
      <c r="B654" s="15">
        <v>41</v>
      </c>
      <c r="C654" s="22">
        <v>4</v>
      </c>
      <c r="D654" s="15">
        <v>9</v>
      </c>
      <c r="E654" s="15">
        <v>3587</v>
      </c>
      <c r="F654" s="22">
        <v>10</v>
      </c>
      <c r="G654" s="22">
        <v>6</v>
      </c>
      <c r="H654" s="7">
        <f>177+392+29+79</f>
        <v>677</v>
      </c>
      <c r="I654" s="9">
        <v>840</v>
      </c>
      <c r="J654" s="10">
        <v>45848</v>
      </c>
      <c r="K654" s="10">
        <v>45867</v>
      </c>
      <c r="L654" s="11" t="s">
        <v>196</v>
      </c>
      <c r="M654" s="34">
        <f t="shared" si="43"/>
        <v>104355900.96999998</v>
      </c>
    </row>
    <row r="655" spans="1:13">
      <c r="A655" s="7">
        <v>652</v>
      </c>
      <c r="B655" s="15">
        <v>42</v>
      </c>
      <c r="C655" s="22">
        <v>4</v>
      </c>
      <c r="D655" s="15">
        <v>9</v>
      </c>
      <c r="E655" s="15">
        <v>843</v>
      </c>
      <c r="F655" s="15">
        <v>121</v>
      </c>
      <c r="G655" s="15">
        <v>7</v>
      </c>
      <c r="H655" s="7">
        <f>177+29+79</f>
        <v>285</v>
      </c>
      <c r="I655" s="9">
        <f>(K655-J655+1)*24</f>
        <v>168</v>
      </c>
      <c r="J655" s="10">
        <v>45906</v>
      </c>
      <c r="K655" s="10">
        <v>45912</v>
      </c>
      <c r="L655" s="11" t="s">
        <v>248</v>
      </c>
      <c r="M655" s="12">
        <f t="shared" si="43"/>
        <v>43931213.849999994</v>
      </c>
    </row>
    <row r="656" spans="1:13">
      <c r="A656" s="7">
        <v>653</v>
      </c>
      <c r="B656" s="15">
        <v>45</v>
      </c>
      <c r="C656" s="22">
        <v>4</v>
      </c>
      <c r="D656" s="15">
        <v>9</v>
      </c>
      <c r="E656" s="15">
        <v>5205</v>
      </c>
      <c r="F656" s="15">
        <v>23</v>
      </c>
      <c r="G656" s="15">
        <v>6</v>
      </c>
      <c r="H656" s="7">
        <f>140+39+72</f>
        <v>251</v>
      </c>
      <c r="I656" s="9">
        <f>(K656-J656+1)*24</f>
        <v>168</v>
      </c>
      <c r="J656" s="10">
        <v>45909</v>
      </c>
      <c r="K656" s="10">
        <v>45915</v>
      </c>
      <c r="L656" s="11" t="s">
        <v>369</v>
      </c>
      <c r="M656" s="12">
        <f t="shared" si="43"/>
        <v>38690297.109999999</v>
      </c>
    </row>
    <row r="657" spans="1:13">
      <c r="A657" s="7">
        <v>654</v>
      </c>
      <c r="B657" s="15">
        <v>38</v>
      </c>
      <c r="C657" s="22">
        <v>4</v>
      </c>
      <c r="D657" s="15">
        <v>9</v>
      </c>
      <c r="E657" s="15">
        <v>49</v>
      </c>
      <c r="F657" s="15">
        <v>100</v>
      </c>
      <c r="G657" s="15">
        <v>7</v>
      </c>
      <c r="H657" s="7">
        <f>177+39+112+29+79</f>
        <v>436</v>
      </c>
      <c r="I657" s="9">
        <f>(K657-J657+1)*24</f>
        <v>504</v>
      </c>
      <c r="J657" s="10">
        <v>45895</v>
      </c>
      <c r="K657" s="10">
        <v>45915</v>
      </c>
      <c r="L657" s="11" t="s">
        <v>250</v>
      </c>
      <c r="M657" s="12">
        <f t="shared" si="43"/>
        <v>67207049.959999993</v>
      </c>
    </row>
    <row r="658" spans="1:13">
      <c r="A658" s="7">
        <v>655</v>
      </c>
      <c r="B658" s="15">
        <v>40</v>
      </c>
      <c r="C658" s="22">
        <v>4</v>
      </c>
      <c r="D658" s="15">
        <v>9</v>
      </c>
      <c r="E658" s="15">
        <v>4633</v>
      </c>
      <c r="F658" s="15">
        <v>27</v>
      </c>
      <c r="G658" s="15">
        <v>4</v>
      </c>
      <c r="H658" s="7">
        <f>392+29+79</f>
        <v>500</v>
      </c>
      <c r="I658" s="9">
        <f>(K658-J658+1)*24</f>
        <v>264</v>
      </c>
      <c r="J658" s="10">
        <v>45906</v>
      </c>
      <c r="K658" s="10">
        <v>45916</v>
      </c>
      <c r="L658" s="11" t="s">
        <v>198</v>
      </c>
      <c r="M658" s="12">
        <f t="shared" si="43"/>
        <v>77072305</v>
      </c>
    </row>
    <row r="659" spans="1:13">
      <c r="A659" s="7">
        <v>656</v>
      </c>
      <c r="B659" s="15">
        <v>43</v>
      </c>
      <c r="C659" s="22">
        <v>4</v>
      </c>
      <c r="D659" s="15">
        <v>9</v>
      </c>
      <c r="E659" s="15">
        <v>2372</v>
      </c>
      <c r="F659" s="15">
        <v>24</v>
      </c>
      <c r="G659" s="15">
        <v>4</v>
      </c>
      <c r="H659" s="7">
        <f>112+29+79</f>
        <v>220</v>
      </c>
      <c r="I659" s="9">
        <f>(K659-J659+1)*24</f>
        <v>1224</v>
      </c>
      <c r="J659" s="10">
        <v>45870</v>
      </c>
      <c r="K659" s="10">
        <v>45920</v>
      </c>
      <c r="L659" s="11" t="s">
        <v>331</v>
      </c>
      <c r="M659" s="12">
        <f t="shared" si="43"/>
        <v>33911814.199999996</v>
      </c>
    </row>
    <row r="660" spans="1:13">
      <c r="A660" s="7">
        <v>657</v>
      </c>
      <c r="B660" s="15">
        <v>40</v>
      </c>
      <c r="C660" s="22">
        <v>4</v>
      </c>
      <c r="D660" s="15">
        <v>9</v>
      </c>
      <c r="E660" s="15">
        <v>746</v>
      </c>
      <c r="F660" s="15">
        <v>105</v>
      </c>
      <c r="G660" s="15">
        <v>7</v>
      </c>
      <c r="H660" s="7">
        <f>140+39+79</f>
        <v>258</v>
      </c>
      <c r="I660" s="9">
        <v>336</v>
      </c>
      <c r="J660" s="10">
        <v>45865</v>
      </c>
      <c r="K660" s="10">
        <v>45873</v>
      </c>
      <c r="L660" s="11" t="s">
        <v>40</v>
      </c>
      <c r="M660" s="34">
        <f t="shared" si="43"/>
        <v>39769309.379999995</v>
      </c>
    </row>
    <row r="661" spans="1:13">
      <c r="A661" s="7">
        <v>658</v>
      </c>
      <c r="B661" s="15">
        <v>38</v>
      </c>
      <c r="C661" s="22">
        <v>4</v>
      </c>
      <c r="D661" s="15">
        <v>9</v>
      </c>
      <c r="E661" s="15">
        <v>2239</v>
      </c>
      <c r="F661" s="15">
        <v>107</v>
      </c>
      <c r="G661" s="15">
        <v>6</v>
      </c>
      <c r="H661" s="7">
        <f>177+45+112+29+79</f>
        <v>442</v>
      </c>
      <c r="I661" s="9">
        <f t="shared" ref="I661:I703" si="45">(K661-J661+1)*24</f>
        <v>360</v>
      </c>
      <c r="J661" s="10">
        <v>45916</v>
      </c>
      <c r="K661" s="10">
        <v>45930</v>
      </c>
      <c r="L661" s="11" t="s">
        <v>383</v>
      </c>
      <c r="M661" s="12">
        <f t="shared" si="43"/>
        <v>68131917.61999999</v>
      </c>
    </row>
    <row r="662" spans="1:13">
      <c r="A662" s="7">
        <v>659</v>
      </c>
      <c r="B662" s="15">
        <v>45</v>
      </c>
      <c r="C662" s="22">
        <v>4</v>
      </c>
      <c r="D662" s="15">
        <v>9</v>
      </c>
      <c r="E662" s="15">
        <v>4446</v>
      </c>
      <c r="F662" s="15" t="s">
        <v>380</v>
      </c>
      <c r="G662" s="15" t="s">
        <v>379</v>
      </c>
      <c r="H662" s="7">
        <f>177+39+71</f>
        <v>287</v>
      </c>
      <c r="I662" s="9">
        <f t="shared" si="45"/>
        <v>240</v>
      </c>
      <c r="J662" s="10">
        <v>45915</v>
      </c>
      <c r="K662" s="10">
        <v>45924</v>
      </c>
      <c r="L662" s="11" t="s">
        <v>133</v>
      </c>
      <c r="M662" s="12">
        <f t="shared" si="43"/>
        <v>44239503.069999993</v>
      </c>
    </row>
    <row r="663" spans="1:13" ht="31.5">
      <c r="A663" s="7">
        <v>660</v>
      </c>
      <c r="B663" s="15">
        <v>8</v>
      </c>
      <c r="C663" s="22">
        <v>4</v>
      </c>
      <c r="D663" s="15">
        <v>9</v>
      </c>
      <c r="E663" s="15">
        <v>10</v>
      </c>
      <c r="F663" s="21" t="s">
        <v>325</v>
      </c>
      <c r="G663" s="21"/>
      <c r="H663" s="7">
        <f>318+39+29+71</f>
        <v>457</v>
      </c>
      <c r="I663" s="9">
        <f t="shared" si="45"/>
        <v>312</v>
      </c>
      <c r="J663" s="10">
        <v>45894</v>
      </c>
      <c r="K663" s="10">
        <v>45906</v>
      </c>
      <c r="L663" s="11" t="s">
        <v>367</v>
      </c>
      <c r="M663" s="12">
        <f t="shared" si="43"/>
        <v>70444086.769999996</v>
      </c>
    </row>
    <row r="664" spans="1:13" ht="31.5">
      <c r="A664" s="7">
        <v>661</v>
      </c>
      <c r="B664" s="15">
        <v>8</v>
      </c>
      <c r="C664" s="22">
        <v>4</v>
      </c>
      <c r="D664" s="15">
        <v>9</v>
      </c>
      <c r="E664" s="15">
        <v>335</v>
      </c>
      <c r="F664" s="21" t="s">
        <v>325</v>
      </c>
      <c r="G664" s="21"/>
      <c r="H664" s="7">
        <f>140+39+71</f>
        <v>250</v>
      </c>
      <c r="I664" s="9">
        <f t="shared" si="45"/>
        <v>240</v>
      </c>
      <c r="J664" s="10">
        <v>45907</v>
      </c>
      <c r="K664" s="10">
        <v>45916</v>
      </c>
      <c r="L664" s="11" t="s">
        <v>86</v>
      </c>
      <c r="M664" s="12">
        <f t="shared" si="43"/>
        <v>38536152.5</v>
      </c>
    </row>
    <row r="665" spans="1:13">
      <c r="A665" s="7">
        <v>662</v>
      </c>
      <c r="B665" s="15">
        <v>8</v>
      </c>
      <c r="C665" s="22">
        <v>4</v>
      </c>
      <c r="D665" s="15">
        <v>9</v>
      </c>
      <c r="E665" s="15">
        <v>143</v>
      </c>
      <c r="F665" s="15">
        <v>101</v>
      </c>
      <c r="G665" s="15">
        <v>7</v>
      </c>
      <c r="H665" s="7">
        <f>140+29+79</f>
        <v>248</v>
      </c>
      <c r="I665" s="9">
        <f t="shared" si="45"/>
        <v>240</v>
      </c>
      <c r="J665" s="10">
        <v>45917</v>
      </c>
      <c r="K665" s="10">
        <v>45926</v>
      </c>
      <c r="L665" s="11" t="s">
        <v>378</v>
      </c>
      <c r="M665" s="12">
        <f t="shared" si="43"/>
        <v>38227863.279999994</v>
      </c>
    </row>
    <row r="666" spans="1:13">
      <c r="A666" s="7">
        <v>663</v>
      </c>
      <c r="B666" s="22">
        <v>45</v>
      </c>
      <c r="C666" s="22">
        <v>4</v>
      </c>
      <c r="D666" s="15">
        <v>10</v>
      </c>
      <c r="E666" s="22">
        <v>8970</v>
      </c>
      <c r="F666" s="8">
        <v>107</v>
      </c>
      <c r="G666" s="8">
        <v>6</v>
      </c>
      <c r="H666" s="7">
        <f>112+29+39+72</f>
        <v>252</v>
      </c>
      <c r="I666" s="9">
        <f t="shared" si="45"/>
        <v>216</v>
      </c>
      <c r="J666" s="10">
        <v>45925</v>
      </c>
      <c r="K666" s="10">
        <v>45933</v>
      </c>
      <c r="L666" s="11" t="s">
        <v>418</v>
      </c>
      <c r="M666" s="12">
        <f t="shared" si="43"/>
        <v>38844441.719999999</v>
      </c>
    </row>
    <row r="667" spans="1:13">
      <c r="A667" s="7">
        <v>664</v>
      </c>
      <c r="B667" s="24">
        <v>43</v>
      </c>
      <c r="C667" s="22">
        <v>4</v>
      </c>
      <c r="D667" s="15">
        <v>10</v>
      </c>
      <c r="E667" s="15">
        <v>7654</v>
      </c>
      <c r="F667" s="22">
        <v>20</v>
      </c>
      <c r="G667" s="22">
        <v>6</v>
      </c>
      <c r="H667" s="7">
        <f>112+39+29+79</f>
        <v>259</v>
      </c>
      <c r="I667" s="9">
        <f t="shared" si="45"/>
        <v>360</v>
      </c>
      <c r="J667" s="10">
        <v>45921</v>
      </c>
      <c r="K667" s="10">
        <v>45935</v>
      </c>
      <c r="L667" s="11" t="s">
        <v>188</v>
      </c>
      <c r="M667" s="12">
        <f t="shared" si="43"/>
        <v>39923453.989999995</v>
      </c>
    </row>
    <row r="668" spans="1:13" ht="16.5">
      <c r="A668" s="7">
        <v>665</v>
      </c>
      <c r="B668" s="15">
        <v>37</v>
      </c>
      <c r="C668" s="22">
        <v>4</v>
      </c>
      <c r="D668" s="15">
        <v>10</v>
      </c>
      <c r="E668" s="15">
        <v>6220</v>
      </c>
      <c r="F668" s="22">
        <v>102</v>
      </c>
      <c r="G668" s="22">
        <v>4</v>
      </c>
      <c r="H668" s="7">
        <f>140+234+72</f>
        <v>446</v>
      </c>
      <c r="I668" s="9">
        <f t="shared" si="45"/>
        <v>336</v>
      </c>
      <c r="J668" s="10">
        <v>45923</v>
      </c>
      <c r="K668" s="10">
        <v>45936</v>
      </c>
      <c r="L668" s="19" t="s">
        <v>312</v>
      </c>
      <c r="M668" s="12">
        <f t="shared" si="43"/>
        <v>68748496.059999987</v>
      </c>
    </row>
    <row r="669" spans="1:13">
      <c r="A669" s="7">
        <v>666</v>
      </c>
      <c r="B669" s="15">
        <v>41</v>
      </c>
      <c r="C669" s="22">
        <v>4</v>
      </c>
      <c r="D669" s="15">
        <v>10</v>
      </c>
      <c r="E669" s="15">
        <v>3443</v>
      </c>
      <c r="F669" s="22" t="s">
        <v>20</v>
      </c>
      <c r="G669" s="22" t="s">
        <v>17</v>
      </c>
      <c r="H669" s="7">
        <f>177+137+39+66</f>
        <v>419</v>
      </c>
      <c r="I669" s="9">
        <f t="shared" si="45"/>
        <v>648</v>
      </c>
      <c r="J669" s="10">
        <v>45908</v>
      </c>
      <c r="K669" s="10">
        <v>45934</v>
      </c>
      <c r="L669" s="11" t="s">
        <v>402</v>
      </c>
      <c r="M669" s="12">
        <f t="shared" si="43"/>
        <v>64586591.589999996</v>
      </c>
    </row>
    <row r="670" spans="1:13">
      <c r="A670" s="7">
        <v>667</v>
      </c>
      <c r="B670" s="15">
        <v>41</v>
      </c>
      <c r="C670" s="22">
        <v>4</v>
      </c>
      <c r="D670" s="15">
        <v>10</v>
      </c>
      <c r="E670" s="15">
        <v>889</v>
      </c>
      <c r="F670" s="15">
        <v>100</v>
      </c>
      <c r="G670" s="15">
        <v>7</v>
      </c>
      <c r="H670" s="7">
        <f>140+39+72</f>
        <v>251</v>
      </c>
      <c r="I670" s="9">
        <f t="shared" si="45"/>
        <v>192</v>
      </c>
      <c r="J670" s="10">
        <v>45935</v>
      </c>
      <c r="K670" s="10">
        <v>45942</v>
      </c>
      <c r="L670" s="11" t="s">
        <v>40</v>
      </c>
      <c r="M670" s="12">
        <f t="shared" si="43"/>
        <v>38690297.109999999</v>
      </c>
    </row>
    <row r="671" spans="1:13">
      <c r="A671" s="7">
        <v>668</v>
      </c>
      <c r="B671" s="15">
        <v>45</v>
      </c>
      <c r="C671" s="22">
        <v>4</v>
      </c>
      <c r="D671" s="15">
        <v>10</v>
      </c>
      <c r="E671" s="15">
        <v>2371</v>
      </c>
      <c r="F671" s="15">
        <v>24</v>
      </c>
      <c r="G671" s="15">
        <v>4</v>
      </c>
      <c r="H671" s="7">
        <f>177+112+39+29+72</f>
        <v>429</v>
      </c>
      <c r="I671" s="9">
        <f t="shared" si="45"/>
        <v>288</v>
      </c>
      <c r="J671" s="10">
        <v>45934</v>
      </c>
      <c r="K671" s="10">
        <v>45945</v>
      </c>
      <c r="L671" s="11" t="s">
        <v>256</v>
      </c>
      <c r="M671" s="12">
        <f t="shared" si="43"/>
        <v>66128037.689999998</v>
      </c>
    </row>
    <row r="672" spans="1:13">
      <c r="A672" s="7">
        <v>669</v>
      </c>
      <c r="B672" s="15">
        <v>43</v>
      </c>
      <c r="C672" s="22">
        <v>4</v>
      </c>
      <c r="D672" s="15">
        <v>10</v>
      </c>
      <c r="E672" s="15">
        <v>9800</v>
      </c>
      <c r="F672" s="15">
        <v>28</v>
      </c>
      <c r="G672" s="15">
        <v>4</v>
      </c>
      <c r="H672" s="7">
        <f>112+39+29+90</f>
        <v>270</v>
      </c>
      <c r="I672" s="9">
        <f t="shared" si="45"/>
        <v>264</v>
      </c>
      <c r="J672" s="10">
        <v>45936</v>
      </c>
      <c r="K672" s="10">
        <v>45946</v>
      </c>
      <c r="L672" s="11" t="s">
        <v>188</v>
      </c>
      <c r="M672" s="12">
        <f t="shared" si="43"/>
        <v>41619044.699999996</v>
      </c>
    </row>
    <row r="673" spans="1:13">
      <c r="A673" s="7">
        <v>670</v>
      </c>
      <c r="B673" s="15">
        <v>40</v>
      </c>
      <c r="C673" s="22">
        <v>4</v>
      </c>
      <c r="D673" s="15">
        <v>10</v>
      </c>
      <c r="E673" s="15">
        <v>436</v>
      </c>
      <c r="F673" s="15">
        <v>103</v>
      </c>
      <c r="G673" s="15">
        <v>7</v>
      </c>
      <c r="H673" s="7">
        <f>234+39+29+37+90</f>
        <v>429</v>
      </c>
      <c r="I673" s="9">
        <f t="shared" si="45"/>
        <v>360</v>
      </c>
      <c r="J673" s="10">
        <v>45932</v>
      </c>
      <c r="K673" s="10">
        <v>45946</v>
      </c>
      <c r="L673" s="11" t="s">
        <v>405</v>
      </c>
      <c r="M673" s="12">
        <f t="shared" ref="M673:M703" si="46">H673*154144.61</f>
        <v>66128037.689999998</v>
      </c>
    </row>
    <row r="674" spans="1:13" ht="16.5">
      <c r="A674" s="7">
        <v>671</v>
      </c>
      <c r="B674" s="15">
        <v>37</v>
      </c>
      <c r="C674" s="22">
        <v>4</v>
      </c>
      <c r="D674" s="15">
        <v>10</v>
      </c>
      <c r="E674" s="15">
        <v>759</v>
      </c>
      <c r="F674" s="15">
        <v>103</v>
      </c>
      <c r="G674" s="15">
        <v>7</v>
      </c>
      <c r="H674" s="7">
        <f>140+234+90</f>
        <v>464</v>
      </c>
      <c r="I674" s="9">
        <f t="shared" si="45"/>
        <v>408</v>
      </c>
      <c r="J674" s="10">
        <v>45937</v>
      </c>
      <c r="K674" s="10">
        <v>45953</v>
      </c>
      <c r="L674" s="19" t="s">
        <v>312</v>
      </c>
      <c r="M674" s="12">
        <f t="shared" si="46"/>
        <v>71523099.039999992</v>
      </c>
    </row>
    <row r="675" spans="1:13">
      <c r="A675" s="7">
        <v>672</v>
      </c>
      <c r="B675" s="15">
        <v>40</v>
      </c>
      <c r="C675" s="22">
        <v>4</v>
      </c>
      <c r="D675" s="15">
        <v>10</v>
      </c>
      <c r="E675" s="15">
        <v>6650</v>
      </c>
      <c r="F675" s="15">
        <v>102</v>
      </c>
      <c r="G675" s="15">
        <v>4</v>
      </c>
      <c r="H675" s="7">
        <f>140+39+90</f>
        <v>269</v>
      </c>
      <c r="I675" s="9">
        <f t="shared" si="45"/>
        <v>192</v>
      </c>
      <c r="J675" s="10">
        <v>45947</v>
      </c>
      <c r="K675" s="10">
        <v>45954</v>
      </c>
      <c r="L675" s="11" t="s">
        <v>40</v>
      </c>
      <c r="M675" s="12">
        <f t="shared" si="46"/>
        <v>41464900.089999996</v>
      </c>
    </row>
    <row r="676" spans="1:13">
      <c r="A676" s="7">
        <v>673</v>
      </c>
      <c r="B676" s="15">
        <v>45</v>
      </c>
      <c r="C676" s="22">
        <v>4</v>
      </c>
      <c r="D676" s="15">
        <v>10</v>
      </c>
      <c r="E676" s="15">
        <v>905</v>
      </c>
      <c r="F676" s="15">
        <v>20</v>
      </c>
      <c r="G676" s="15">
        <v>6</v>
      </c>
      <c r="H676" s="7">
        <f>137+29+39+75</f>
        <v>280</v>
      </c>
      <c r="I676" s="9">
        <f t="shared" si="45"/>
        <v>216</v>
      </c>
      <c r="J676" s="10">
        <v>45946</v>
      </c>
      <c r="K676" s="10">
        <v>45954</v>
      </c>
      <c r="L676" s="11" t="s">
        <v>407</v>
      </c>
      <c r="M676" s="12">
        <f t="shared" si="46"/>
        <v>43160490.799999997</v>
      </c>
    </row>
    <row r="677" spans="1:13" ht="31.5">
      <c r="A677" s="7">
        <v>674</v>
      </c>
      <c r="B677" s="15">
        <v>42</v>
      </c>
      <c r="C677" s="22">
        <v>4</v>
      </c>
      <c r="D677" s="15">
        <v>10</v>
      </c>
      <c r="E677" s="15">
        <v>6213</v>
      </c>
      <c r="F677" s="15">
        <v>30</v>
      </c>
      <c r="G677" s="15">
        <v>4</v>
      </c>
      <c r="H677" s="7">
        <f>39+74+392+29+82</f>
        <v>616</v>
      </c>
      <c r="I677" s="9">
        <f t="shared" si="45"/>
        <v>744</v>
      </c>
      <c r="J677" s="10">
        <v>45931</v>
      </c>
      <c r="K677" s="10">
        <v>45961</v>
      </c>
      <c r="L677" s="11" t="s">
        <v>419</v>
      </c>
      <c r="M677" s="12">
        <f t="shared" si="46"/>
        <v>94953079.75999999</v>
      </c>
    </row>
    <row r="678" spans="1:13" ht="31.5">
      <c r="A678" s="7">
        <v>675</v>
      </c>
      <c r="B678" s="15">
        <v>8</v>
      </c>
      <c r="C678" s="22">
        <v>4</v>
      </c>
      <c r="D678" s="15">
        <v>10</v>
      </c>
      <c r="E678" s="15">
        <v>181</v>
      </c>
      <c r="F678" s="21" t="s">
        <v>404</v>
      </c>
      <c r="G678" s="21"/>
      <c r="H678" s="7">
        <f>140+29+71</f>
        <v>240</v>
      </c>
      <c r="I678" s="9">
        <f t="shared" si="45"/>
        <v>216</v>
      </c>
      <c r="J678" s="10">
        <v>45927</v>
      </c>
      <c r="K678" s="10">
        <v>45935</v>
      </c>
      <c r="L678" s="11" t="s">
        <v>378</v>
      </c>
      <c r="M678" s="12">
        <f t="shared" si="46"/>
        <v>36994706.399999999</v>
      </c>
    </row>
    <row r="679" spans="1:13" ht="31.5">
      <c r="A679" s="7">
        <v>676</v>
      </c>
      <c r="B679" s="15">
        <v>8</v>
      </c>
      <c r="C679" s="22">
        <v>4</v>
      </c>
      <c r="D679" s="15">
        <v>10</v>
      </c>
      <c r="E679" s="15">
        <v>451</v>
      </c>
      <c r="F679" s="21" t="s">
        <v>406</v>
      </c>
      <c r="G679" s="21"/>
      <c r="H679" s="7">
        <f>202+112+29+71</f>
        <v>414</v>
      </c>
      <c r="I679" s="9">
        <f t="shared" si="45"/>
        <v>384</v>
      </c>
      <c r="J679" s="10">
        <v>45936</v>
      </c>
      <c r="K679" s="10">
        <v>45951</v>
      </c>
      <c r="L679" s="11" t="s">
        <v>408</v>
      </c>
      <c r="M679" s="12">
        <f t="shared" si="46"/>
        <v>63815868.539999992</v>
      </c>
    </row>
    <row r="680" spans="1:13">
      <c r="A680" s="7">
        <v>677</v>
      </c>
      <c r="B680" s="22">
        <v>38</v>
      </c>
      <c r="C680" s="22">
        <v>4</v>
      </c>
      <c r="D680" s="7">
        <v>11</v>
      </c>
      <c r="E680" s="22">
        <v>385</v>
      </c>
      <c r="F680" s="8">
        <v>105</v>
      </c>
      <c r="G680" s="8">
        <v>7</v>
      </c>
      <c r="H680" s="7">
        <f>268+29+72</f>
        <v>369</v>
      </c>
      <c r="I680" s="9">
        <f t="shared" si="45"/>
        <v>840</v>
      </c>
      <c r="J680" s="10">
        <v>45930</v>
      </c>
      <c r="K680" s="10">
        <v>45964</v>
      </c>
      <c r="L680" s="11" t="s">
        <v>178</v>
      </c>
      <c r="M680" s="12">
        <f t="shared" si="46"/>
        <v>56879361.089999996</v>
      </c>
    </row>
    <row r="681" spans="1:13">
      <c r="A681" s="7">
        <v>678</v>
      </c>
      <c r="B681" s="24">
        <v>41</v>
      </c>
      <c r="C681" s="22">
        <v>4</v>
      </c>
      <c r="D681" s="7">
        <v>11</v>
      </c>
      <c r="E681" s="15">
        <v>189</v>
      </c>
      <c r="F681" s="8">
        <v>100</v>
      </c>
      <c r="G681" s="8">
        <v>7</v>
      </c>
      <c r="H681" s="7">
        <f>39+392+29+72</f>
        <v>532</v>
      </c>
      <c r="I681" s="9">
        <f t="shared" si="45"/>
        <v>696</v>
      </c>
      <c r="J681" s="10">
        <v>45943</v>
      </c>
      <c r="K681" s="10">
        <v>45971</v>
      </c>
      <c r="L681" s="11" t="s">
        <v>387</v>
      </c>
      <c r="M681" s="12">
        <f t="shared" si="46"/>
        <v>82004932.519999996</v>
      </c>
    </row>
    <row r="682" spans="1:13">
      <c r="A682" s="7">
        <v>679</v>
      </c>
      <c r="B682" s="15">
        <v>43</v>
      </c>
      <c r="C682" s="22">
        <v>4</v>
      </c>
      <c r="D682" s="7">
        <v>11</v>
      </c>
      <c r="E682" s="15">
        <v>8933</v>
      </c>
      <c r="F682" s="22">
        <v>22</v>
      </c>
      <c r="G682" s="22">
        <v>6</v>
      </c>
      <c r="H682" s="7">
        <f>177+90</f>
        <v>267</v>
      </c>
      <c r="I682" s="9">
        <f t="shared" si="45"/>
        <v>264</v>
      </c>
      <c r="J682" s="10">
        <v>45966</v>
      </c>
      <c r="K682" s="10">
        <v>45976</v>
      </c>
      <c r="L682" s="11" t="s">
        <v>189</v>
      </c>
      <c r="M682" s="12">
        <f t="shared" si="46"/>
        <v>41156610.869999997</v>
      </c>
    </row>
    <row r="683" spans="1:13">
      <c r="A683" s="7">
        <v>680</v>
      </c>
      <c r="B683" s="15">
        <v>43</v>
      </c>
      <c r="C683" s="22">
        <v>4</v>
      </c>
      <c r="D683" s="7">
        <v>11</v>
      </c>
      <c r="E683" s="15">
        <v>309</v>
      </c>
      <c r="F683" s="15">
        <v>79</v>
      </c>
      <c r="G683" s="15">
        <v>7</v>
      </c>
      <c r="H683" s="7">
        <f>177+90</f>
        <v>267</v>
      </c>
      <c r="I683" s="9">
        <f t="shared" si="45"/>
        <v>120</v>
      </c>
      <c r="J683" s="10">
        <v>45977</v>
      </c>
      <c r="K683" s="10">
        <v>45981</v>
      </c>
      <c r="L683" s="11" t="s">
        <v>189</v>
      </c>
      <c r="M683" s="12">
        <f t="shared" si="46"/>
        <v>41156610.869999997</v>
      </c>
    </row>
    <row r="684" spans="1:13">
      <c r="A684" s="7">
        <v>681</v>
      </c>
      <c r="B684" s="15">
        <v>41</v>
      </c>
      <c r="C684" s="22">
        <v>4</v>
      </c>
      <c r="D684" s="7">
        <v>11</v>
      </c>
      <c r="E684" s="15">
        <v>6793</v>
      </c>
      <c r="F684" s="15">
        <v>24</v>
      </c>
      <c r="G684" s="15">
        <v>4</v>
      </c>
      <c r="H684" s="7">
        <f>221+90</f>
        <v>311</v>
      </c>
      <c r="I684" s="9">
        <f t="shared" si="45"/>
        <v>264</v>
      </c>
      <c r="J684" s="10">
        <v>45972</v>
      </c>
      <c r="K684" s="10">
        <v>45982</v>
      </c>
      <c r="L684" s="11" t="s">
        <v>78</v>
      </c>
      <c r="M684" s="12">
        <f t="shared" si="46"/>
        <v>47938973.709999993</v>
      </c>
    </row>
    <row r="685" spans="1:13" ht="16.5">
      <c r="A685" s="7">
        <v>682</v>
      </c>
      <c r="B685" s="15">
        <v>42</v>
      </c>
      <c r="C685" s="22">
        <v>4</v>
      </c>
      <c r="D685" s="7">
        <v>11</v>
      </c>
      <c r="E685" s="15">
        <v>969</v>
      </c>
      <c r="F685" s="15">
        <v>107</v>
      </c>
      <c r="G685" s="15">
        <v>6</v>
      </c>
      <c r="H685" s="7">
        <f>140+234+37+90</f>
        <v>501</v>
      </c>
      <c r="I685" s="9">
        <f t="shared" si="45"/>
        <v>528</v>
      </c>
      <c r="J685" s="10">
        <v>45963</v>
      </c>
      <c r="K685" s="10">
        <v>45984</v>
      </c>
      <c r="L685" s="19" t="s">
        <v>445</v>
      </c>
      <c r="M685" s="12">
        <f t="shared" si="46"/>
        <v>77226449.609999999</v>
      </c>
    </row>
    <row r="686" spans="1:13" ht="33">
      <c r="A686" s="7">
        <v>683</v>
      </c>
      <c r="B686" s="15">
        <v>37</v>
      </c>
      <c r="C686" s="22">
        <v>4</v>
      </c>
      <c r="D686" s="7">
        <v>11</v>
      </c>
      <c r="E686" s="15">
        <v>761</v>
      </c>
      <c r="F686" s="22">
        <v>10</v>
      </c>
      <c r="G686" s="22">
        <v>6</v>
      </c>
      <c r="H686" s="7">
        <f>140+39+234+37+90</f>
        <v>540</v>
      </c>
      <c r="I686" s="9">
        <f t="shared" si="45"/>
        <v>552</v>
      </c>
      <c r="J686" s="10">
        <v>45964</v>
      </c>
      <c r="K686" s="10">
        <v>45986</v>
      </c>
      <c r="L686" s="19" t="s">
        <v>458</v>
      </c>
      <c r="M686" s="12">
        <f t="shared" si="46"/>
        <v>83238089.399999991</v>
      </c>
    </row>
    <row r="687" spans="1:13">
      <c r="A687" s="7">
        <v>684</v>
      </c>
      <c r="B687" s="15">
        <v>38</v>
      </c>
      <c r="C687" s="22">
        <v>4</v>
      </c>
      <c r="D687" s="7">
        <v>11</v>
      </c>
      <c r="E687" s="15">
        <v>7651</v>
      </c>
      <c r="F687" s="15">
        <v>21</v>
      </c>
      <c r="G687" s="15">
        <v>6</v>
      </c>
      <c r="H687" s="7">
        <f>39+137+77</f>
        <v>253</v>
      </c>
      <c r="I687" s="9">
        <f t="shared" si="45"/>
        <v>360</v>
      </c>
      <c r="J687" s="10">
        <v>45972</v>
      </c>
      <c r="K687" s="10">
        <v>45986</v>
      </c>
      <c r="L687" s="11" t="s">
        <v>446</v>
      </c>
      <c r="M687" s="12">
        <f t="shared" si="46"/>
        <v>38998586.329999998</v>
      </c>
    </row>
    <row r="688" spans="1:13" ht="16.5">
      <c r="A688" s="7">
        <v>685</v>
      </c>
      <c r="B688" s="15">
        <v>40</v>
      </c>
      <c r="C688" s="22">
        <v>4</v>
      </c>
      <c r="D688" s="7">
        <v>11</v>
      </c>
      <c r="E688" s="15">
        <v>5433</v>
      </c>
      <c r="F688" s="15" t="s">
        <v>18</v>
      </c>
      <c r="G688" s="15" t="s">
        <v>17</v>
      </c>
      <c r="H688" s="7">
        <f>39+29+82</f>
        <v>150</v>
      </c>
      <c r="I688" s="9">
        <f t="shared" si="45"/>
        <v>96</v>
      </c>
      <c r="J688" s="10">
        <v>45986</v>
      </c>
      <c r="K688" s="10">
        <v>45989</v>
      </c>
      <c r="L688" s="19" t="s">
        <v>346</v>
      </c>
      <c r="M688" s="12">
        <f t="shared" si="46"/>
        <v>23121691.499999996</v>
      </c>
    </row>
    <row r="689" spans="1:13" ht="16.5">
      <c r="A689" s="7">
        <v>686</v>
      </c>
      <c r="B689" s="15">
        <v>45</v>
      </c>
      <c r="C689" s="22">
        <v>4</v>
      </c>
      <c r="D689" s="7">
        <v>11</v>
      </c>
      <c r="E689" s="15">
        <v>883</v>
      </c>
      <c r="F689" s="15">
        <v>100</v>
      </c>
      <c r="G689" s="15">
        <v>7</v>
      </c>
      <c r="H689" s="7">
        <f>140+234+83</f>
        <v>457</v>
      </c>
      <c r="I689" s="9">
        <f t="shared" si="45"/>
        <v>888</v>
      </c>
      <c r="J689" s="10">
        <v>45955</v>
      </c>
      <c r="K689" s="10">
        <v>45991</v>
      </c>
      <c r="L689" s="19" t="s">
        <v>349</v>
      </c>
      <c r="M689" s="12">
        <f t="shared" si="46"/>
        <v>70444086.769999996</v>
      </c>
    </row>
    <row r="690" spans="1:13" ht="31.5">
      <c r="A690" s="7">
        <v>687</v>
      </c>
      <c r="B690" s="22">
        <v>8</v>
      </c>
      <c r="C690" s="22">
        <v>4</v>
      </c>
      <c r="D690" s="7">
        <v>11</v>
      </c>
      <c r="E690" s="7">
        <v>106</v>
      </c>
      <c r="F690" s="21" t="s">
        <v>427</v>
      </c>
      <c r="G690" s="21"/>
      <c r="H690" s="22">
        <f>138+202+29+82</f>
        <v>451</v>
      </c>
      <c r="I690" s="9">
        <f t="shared" si="45"/>
        <v>360</v>
      </c>
      <c r="J690" s="23">
        <v>45952</v>
      </c>
      <c r="K690" s="23">
        <v>45966</v>
      </c>
      <c r="L690" s="14" t="s">
        <v>428</v>
      </c>
      <c r="M690" s="12">
        <f t="shared" si="46"/>
        <v>69519219.109999999</v>
      </c>
    </row>
    <row r="691" spans="1:13" ht="31.5">
      <c r="A691" s="7">
        <v>688</v>
      </c>
      <c r="B691" s="15">
        <v>8</v>
      </c>
      <c r="C691" s="22">
        <v>4</v>
      </c>
      <c r="D691" s="7">
        <v>11</v>
      </c>
      <c r="E691" s="15">
        <v>111</v>
      </c>
      <c r="F691" s="21" t="s">
        <v>427</v>
      </c>
      <c r="G691" s="21"/>
      <c r="H691" s="22">
        <f>202+29+82</f>
        <v>313</v>
      </c>
      <c r="I691" s="9">
        <f t="shared" si="45"/>
        <v>216</v>
      </c>
      <c r="J691" s="23">
        <v>45967</v>
      </c>
      <c r="K691" s="23">
        <v>45975</v>
      </c>
      <c r="L691" s="14" t="s">
        <v>434</v>
      </c>
      <c r="M691" s="12">
        <f t="shared" si="46"/>
        <v>48247262.929999992</v>
      </c>
    </row>
    <row r="692" spans="1:13">
      <c r="A692" s="7">
        <v>689</v>
      </c>
      <c r="B692" s="22">
        <v>40</v>
      </c>
      <c r="C692" s="22">
        <v>4</v>
      </c>
      <c r="D692" s="7">
        <v>12</v>
      </c>
      <c r="E692" s="22">
        <v>5133</v>
      </c>
      <c r="F692" s="8">
        <v>27</v>
      </c>
      <c r="G692" s="8">
        <v>4</v>
      </c>
      <c r="H692" s="7">
        <f>177+37+29+90</f>
        <v>333</v>
      </c>
      <c r="I692" s="9">
        <f t="shared" si="45"/>
        <v>144</v>
      </c>
      <c r="J692" s="10">
        <v>45990</v>
      </c>
      <c r="K692" s="10">
        <v>45995</v>
      </c>
      <c r="L692" s="11" t="s">
        <v>460</v>
      </c>
      <c r="M692" s="12">
        <f t="shared" si="46"/>
        <v>51330155.129999995</v>
      </c>
    </row>
    <row r="693" spans="1:13">
      <c r="A693" s="7">
        <v>690</v>
      </c>
      <c r="B693" s="24">
        <v>43</v>
      </c>
      <c r="C693" s="22">
        <v>4</v>
      </c>
      <c r="D693" s="7">
        <v>12</v>
      </c>
      <c r="E693" s="15">
        <v>479</v>
      </c>
      <c r="F693" s="8" t="s">
        <v>87</v>
      </c>
      <c r="G693" s="8" t="s">
        <v>17</v>
      </c>
      <c r="H693" s="7">
        <f>177+29+82</f>
        <v>288</v>
      </c>
      <c r="I693" s="9">
        <f t="shared" si="45"/>
        <v>288</v>
      </c>
      <c r="J693" s="10">
        <v>45982</v>
      </c>
      <c r="K693" s="10">
        <v>45993</v>
      </c>
      <c r="L693" s="11" t="s">
        <v>461</v>
      </c>
      <c r="M693" s="12">
        <f t="shared" si="46"/>
        <v>44393647.679999992</v>
      </c>
    </row>
    <row r="694" spans="1:13">
      <c r="A694" s="7">
        <v>691</v>
      </c>
      <c r="B694" s="15">
        <v>43</v>
      </c>
      <c r="C694" s="22">
        <v>4</v>
      </c>
      <c r="D694" s="7">
        <v>12</v>
      </c>
      <c r="E694" s="15">
        <v>576</v>
      </c>
      <c r="F694" s="22">
        <v>104</v>
      </c>
      <c r="G694" s="22">
        <v>7</v>
      </c>
      <c r="H694" s="7">
        <f>177+83</f>
        <v>260</v>
      </c>
      <c r="I694" s="9">
        <f t="shared" si="45"/>
        <v>168</v>
      </c>
      <c r="J694" s="10">
        <v>45994</v>
      </c>
      <c r="K694" s="10">
        <v>46000</v>
      </c>
      <c r="L694" s="11" t="s">
        <v>189</v>
      </c>
      <c r="M694" s="12">
        <f t="shared" si="46"/>
        <v>40077598.599999994</v>
      </c>
    </row>
    <row r="695" spans="1:13">
      <c r="A695" s="7">
        <v>692</v>
      </c>
      <c r="B695" s="15">
        <v>42</v>
      </c>
      <c r="C695" s="22">
        <v>4</v>
      </c>
      <c r="D695" s="7">
        <v>12</v>
      </c>
      <c r="E695" s="15">
        <v>6224</v>
      </c>
      <c r="F695" s="15">
        <v>102</v>
      </c>
      <c r="G695" s="15">
        <v>4</v>
      </c>
      <c r="H695" s="7">
        <f>177+45+112+29+83</f>
        <v>446</v>
      </c>
      <c r="I695" s="9">
        <f t="shared" si="45"/>
        <v>384</v>
      </c>
      <c r="J695" s="10">
        <v>45985</v>
      </c>
      <c r="K695" s="10">
        <v>46000</v>
      </c>
      <c r="L695" s="11" t="s">
        <v>462</v>
      </c>
      <c r="M695" s="12">
        <f t="shared" si="46"/>
        <v>68748496.059999987</v>
      </c>
    </row>
    <row r="696" spans="1:13">
      <c r="A696" s="7">
        <v>693</v>
      </c>
      <c r="B696" s="15">
        <v>40</v>
      </c>
      <c r="C696" s="22">
        <v>4</v>
      </c>
      <c r="D696" s="7">
        <v>12</v>
      </c>
      <c r="E696" s="15">
        <v>5993</v>
      </c>
      <c r="F696" s="8" t="s">
        <v>87</v>
      </c>
      <c r="G696" s="8" t="s">
        <v>17</v>
      </c>
      <c r="H696" s="7">
        <f>221+82</f>
        <v>303</v>
      </c>
      <c r="I696" s="9">
        <f t="shared" si="45"/>
        <v>120</v>
      </c>
      <c r="J696" s="10">
        <v>45996</v>
      </c>
      <c r="K696" s="10">
        <v>46000</v>
      </c>
      <c r="L696" s="11" t="s">
        <v>78</v>
      </c>
      <c r="M696" s="12">
        <f t="shared" si="46"/>
        <v>46705816.829999998</v>
      </c>
    </row>
    <row r="697" spans="1:13">
      <c r="A697" s="7">
        <v>694</v>
      </c>
      <c r="B697" s="15">
        <v>44</v>
      </c>
      <c r="C697" s="22">
        <v>4</v>
      </c>
      <c r="D697" s="7">
        <v>12</v>
      </c>
      <c r="E697" s="15">
        <v>2914</v>
      </c>
      <c r="F697" s="15">
        <v>28</v>
      </c>
      <c r="G697" s="15">
        <v>4</v>
      </c>
      <c r="H697" s="7">
        <f>140+90</f>
        <v>230</v>
      </c>
      <c r="I697" s="9">
        <f t="shared" si="45"/>
        <v>168</v>
      </c>
      <c r="J697" s="10">
        <v>46008</v>
      </c>
      <c r="K697" s="10">
        <v>46014</v>
      </c>
      <c r="L697" s="11" t="s">
        <v>477</v>
      </c>
      <c r="M697" s="12">
        <f t="shared" si="46"/>
        <v>35453260.299999997</v>
      </c>
    </row>
    <row r="698" spans="1:13">
      <c r="A698" s="7">
        <v>695</v>
      </c>
      <c r="B698" s="15">
        <v>45</v>
      </c>
      <c r="C698" s="22">
        <v>4</v>
      </c>
      <c r="D698" s="7">
        <v>12</v>
      </c>
      <c r="E698" s="15">
        <v>937</v>
      </c>
      <c r="F698" s="15">
        <v>121</v>
      </c>
      <c r="G698" s="15">
        <v>7</v>
      </c>
      <c r="H698" s="7">
        <f>268+140+39+83</f>
        <v>530</v>
      </c>
      <c r="I698" s="9">
        <f t="shared" si="45"/>
        <v>576</v>
      </c>
      <c r="J698" s="10">
        <v>45991</v>
      </c>
      <c r="K698" s="10">
        <v>46014</v>
      </c>
      <c r="L698" s="11" t="s">
        <v>479</v>
      </c>
      <c r="M698" s="12">
        <f t="shared" si="46"/>
        <v>81696643.299999997</v>
      </c>
    </row>
    <row r="699" spans="1:13">
      <c r="A699" s="7">
        <v>696</v>
      </c>
      <c r="B699" s="15">
        <v>40</v>
      </c>
      <c r="C699" s="22">
        <v>4</v>
      </c>
      <c r="D699" s="7">
        <v>12</v>
      </c>
      <c r="E699" s="15">
        <v>7762</v>
      </c>
      <c r="F699" s="8" t="s">
        <v>20</v>
      </c>
      <c r="G699" s="8" t="s">
        <v>17</v>
      </c>
      <c r="H699" s="7">
        <f>268+39+82</f>
        <v>389</v>
      </c>
      <c r="I699" s="9">
        <f t="shared" si="45"/>
        <v>360</v>
      </c>
      <c r="J699" s="10">
        <v>46001</v>
      </c>
      <c r="K699" s="10">
        <v>46015</v>
      </c>
      <c r="L699" s="11" t="s">
        <v>478</v>
      </c>
      <c r="M699" s="12">
        <f t="shared" si="46"/>
        <v>59962253.289999992</v>
      </c>
    </row>
    <row r="700" spans="1:13" ht="31.5">
      <c r="A700" s="7">
        <v>697</v>
      </c>
      <c r="B700" s="15">
        <v>38</v>
      </c>
      <c r="C700" s="22">
        <v>4</v>
      </c>
      <c r="D700" s="7">
        <v>12</v>
      </c>
      <c r="E700" s="15">
        <v>8986</v>
      </c>
      <c r="F700" s="15">
        <v>30</v>
      </c>
      <c r="G700" s="15">
        <v>4</v>
      </c>
      <c r="H700" s="7">
        <f>268+164+234+90</f>
        <v>756</v>
      </c>
      <c r="I700" s="9">
        <f t="shared" si="45"/>
        <v>792</v>
      </c>
      <c r="J700" s="10">
        <v>45987</v>
      </c>
      <c r="K700" s="10">
        <v>46019</v>
      </c>
      <c r="L700" s="11" t="s">
        <v>480</v>
      </c>
      <c r="M700" s="12">
        <f t="shared" si="46"/>
        <v>116533325.16</v>
      </c>
    </row>
    <row r="701" spans="1:13">
      <c r="A701" s="7">
        <v>698</v>
      </c>
      <c r="B701" s="15">
        <v>43</v>
      </c>
      <c r="C701" s="22">
        <v>4</v>
      </c>
      <c r="D701" s="7">
        <v>12</v>
      </c>
      <c r="E701" s="15">
        <v>7935</v>
      </c>
      <c r="F701" s="8" t="s">
        <v>18</v>
      </c>
      <c r="G701" s="8" t="s">
        <v>17</v>
      </c>
      <c r="H701" s="7">
        <f>202+112+39+29+82</f>
        <v>464</v>
      </c>
      <c r="I701" s="9">
        <f t="shared" si="45"/>
        <v>432</v>
      </c>
      <c r="J701" s="10">
        <v>46000</v>
      </c>
      <c r="K701" s="10">
        <v>46017</v>
      </c>
      <c r="L701" s="11" t="s">
        <v>464</v>
      </c>
      <c r="M701" s="12">
        <f t="shared" si="46"/>
        <v>71523099.039999992</v>
      </c>
    </row>
    <row r="702" spans="1:13">
      <c r="A702" s="7">
        <v>699</v>
      </c>
      <c r="B702" s="15">
        <v>42</v>
      </c>
      <c r="C702" s="22">
        <v>4</v>
      </c>
      <c r="D702" s="7">
        <v>12</v>
      </c>
      <c r="E702" s="15">
        <v>5561</v>
      </c>
      <c r="F702" s="8">
        <v>102</v>
      </c>
      <c r="G702" s="8">
        <v>4</v>
      </c>
      <c r="H702" s="7">
        <f>221+140+39+234+90</f>
        <v>724</v>
      </c>
      <c r="I702" s="9">
        <f t="shared" si="45"/>
        <v>528</v>
      </c>
      <c r="J702" s="10">
        <v>46001</v>
      </c>
      <c r="K702" s="10">
        <v>46022</v>
      </c>
      <c r="L702" s="11" t="s">
        <v>465</v>
      </c>
      <c r="M702" s="12">
        <f t="shared" si="46"/>
        <v>111600697.63999999</v>
      </c>
    </row>
    <row r="703" spans="1:13" ht="31.5">
      <c r="A703" s="7">
        <v>700</v>
      </c>
      <c r="B703" s="22">
        <v>8</v>
      </c>
      <c r="C703" s="22">
        <v>4</v>
      </c>
      <c r="D703" s="7">
        <v>12</v>
      </c>
      <c r="E703" s="7">
        <v>29</v>
      </c>
      <c r="F703" s="21" t="s">
        <v>325</v>
      </c>
      <c r="G703" s="21"/>
      <c r="H703" s="22">
        <f>234+39+112+39+29+90</f>
        <v>543</v>
      </c>
      <c r="I703" s="9">
        <f t="shared" si="45"/>
        <v>888</v>
      </c>
      <c r="J703" s="10">
        <v>45976</v>
      </c>
      <c r="K703" s="10">
        <v>46012</v>
      </c>
      <c r="L703" s="14" t="s">
        <v>481</v>
      </c>
      <c r="M703" s="12">
        <f t="shared" si="46"/>
        <v>83700523.229999989</v>
      </c>
    </row>
  </sheetData>
  <sortState xmlns:xlrd2="http://schemas.microsoft.com/office/spreadsheetml/2017/richdata2" ref="A4:M703">
    <sortCondition ref="C4:C703"/>
  </sortState>
  <mergeCells count="12">
    <mergeCell ref="N10:O10"/>
    <mergeCell ref="A1:M1"/>
    <mergeCell ref="A2:A3"/>
    <mergeCell ref="B2:B3"/>
    <mergeCell ref="E2:G2"/>
    <mergeCell ref="H2:H3"/>
    <mergeCell ref="I2:I3"/>
    <mergeCell ref="J2:K2"/>
    <mergeCell ref="L2:L3"/>
    <mergeCell ref="M2:M3"/>
    <mergeCell ref="C2:C3"/>
    <mergeCell ref="D2:D3"/>
  </mergeCells>
  <printOptions horizontalCentered="1"/>
  <pageMargins left="0" right="0" top="0" bottom="0" header="0.31496062992125984" footer="0.31496062992125984"/>
  <pageSetup paperSize="9" scale="65" fitToHeight="0" orientation="landscape" r:id="rId1"/>
  <rowBreaks count="1" manualBreakCount="1">
    <brk id="33" max="11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</vt:lpstr>
      <vt:lpstr>Свод!Область_печати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Алмат Толесинов</cp:lastModifiedBy>
  <cp:lastPrinted>2025-12-24T05:49:19Z</cp:lastPrinted>
  <dcterms:created xsi:type="dcterms:W3CDTF">2016-05-04T11:50:09Z</dcterms:created>
  <dcterms:modified xsi:type="dcterms:W3CDTF">2026-01-15T10:54:01Z</dcterms:modified>
</cp:coreProperties>
</file>